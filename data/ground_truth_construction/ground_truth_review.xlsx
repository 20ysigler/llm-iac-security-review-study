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Criteria" sheetId="2" state="visible" r:id="rId4"/>
    <sheet name="Decisions" sheetId="3" state="visible" r:id="rId5"/>
    <sheet name="Findings" sheetId="4" state="visible" r:id="rId6"/>
    <sheet name="Summary" sheetId="5" state="visible" r:id="rId7"/>
  </sheets>
  <definedNames>
    <definedName function="false" hidden="true" localSheetId="2" name="_xlnm._FilterDatabase" vbProcedure="false">Decisions!$A$1:$M$122</definedName>
    <definedName function="false" hidden="true" localSheetId="3" name="_xlnm._FilterDatabase" vbProcedure="false">Findings!$A$1:$G$883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<sst xmlns="http://schemas.openxmlformats.org/spreadsheetml/2006/main" count="6278" uniqueCount="1718">
  <si>
    <t xml:space="preserve">Ground Truth Review</t>
  </si>
  <si>
    <t xml:space="preserve">882 findings collapse to 121 decisions (7.3 findings each)</t>
  </si>
  <si>
    <t xml:space="preserve">Work this sheet</t>
  </si>
  <si>
    <t xml:space="preserve">Decisions. One row per Checkov check ID. Set a VERDICT on each. Findings is a read-only drill-down that inherits your verdict automatically — you never edit it.</t>
  </si>
  <si>
    <t xml:space="preserve">Why by check ID</t>
  </si>
  <si>
    <t xml:space="preserve">The keep/drop question is a property of the check, not the instance: 'is missing encryption at rest a security vulnerability?' has one answer regardless of which bucket it fires on. Only 10 of these check IDs span more than one resource type, and in every case the types are semantically equivalent (aws_iam_policy vs aws_iam_role_policy vs aws_iam_user_policy; aws_security_group vs aws_security_group_rule). Severity is not adjudicated per instance either — it does not enter precision, recall, or F1.</t>
  </si>
  <si>
    <t xml:space="preserve">keep</t>
  </si>
  <si>
    <t xml:space="preserve">A security vulnerability. Every instance enters ground truth; models are expected to find it.</t>
  </si>
  <si>
    <t xml:space="preserve">drop</t>
  </si>
  <si>
    <t xml:space="preserve">Not a security vulnerability. Excluded from scoring, retained in the audit log.</t>
  </si>
  <si>
    <t xml:space="preserve">edit</t>
  </si>
  <si>
    <t xml:space="preserve">Security-relevant but miscategorised. Correct it in Revised Category.</t>
  </si>
  <si>
    <t xml:space="preserve">Priority order</t>
  </si>
  <si>
    <t xml:space="preserve">1. The 13 'ambiguous' rows first — they are genuine judgement calls and each moves the recall denominator. 2. Spot-check the 31 'operational' rows, pre-triaged to drop. 3. Skim the 77 'security' rows, pre-triaged to keep.</t>
  </si>
  <si>
    <t xml:space="preserve">Two corpora</t>
  </si>
  <si>
    <t xml:space="preserve">TerraGoat is the primary corpus and sets the headline results. CloudGoat is the generalisation probe. A check ID firing in both is one decision covering both. The Corpora column shows which apply.</t>
  </si>
  <si>
    <t xml:space="preserve">Rationale</t>
  </si>
  <si>
    <t xml:space="preserve">Required wherever your verdict differs from the pre-triage, and on every 'ambiguous' row. This column is the decision log the method section commits to.</t>
  </si>
  <si>
    <t xml:space="preserve">What this does NOT do</t>
  </si>
  <si>
    <t xml:space="preserve">It does not find vulnerabilities Checkov missed entirely. That step is separate and applies to the six TerraGoat files only.</t>
  </si>
  <si>
    <t xml:space="preserve">Example of a completed row</t>
  </si>
  <si>
    <t xml:space="preserve">Checkov ID</t>
  </si>
  <si>
    <t xml:space="preserve">CKV_AWS_21</t>
  </si>
  <si>
    <t xml:space="preserve">Check Name</t>
  </si>
  <si>
    <t xml:space="preserve">Ensure all data stored in the S3 bucket have versioning enabled</t>
  </si>
  <si>
    <t xml:space="preserve">Pre-Triage</t>
  </si>
  <si>
    <t xml:space="preserve">ambiguous</t>
  </si>
  <si>
    <t xml:space="preserve">VERDICT</t>
  </si>
  <si>
    <t xml:space="preserve">Revised Category</t>
  </si>
  <si>
    <t xml:space="preserve">backup_integrity</t>
  </si>
  <si>
    <t xml:space="preserve">Versioning is the control that makes object-level ransomware and malicious deletion recoverable. Counted as security at medium severity across all 21 instances.</t>
  </si>
  <si>
    <t xml:space="preserve">Classification Criteria</t>
  </si>
  <si>
    <t xml:space="preserve">Write these into Section 2 — the method commits to documenting the criteria explicitly.</t>
  </si>
  <si>
    <t xml:space="preserve">The test</t>
  </si>
  <si>
    <t xml:space="preserve">A finding is a SECURITY vulnerability if it directly creates or widens an attack path — that is, if an attacker's capability against this system is greater with the misconfiguration than without it.</t>
  </si>
  <si>
    <t xml:space="preserve">Clear keeps</t>
  </si>
  <si>
    <t xml:space="preserve">Missing encryption, public exposure, unrestricted network access, hard-coded credentials, excessive IAM permission, deprecated protocols and runtimes. Each of these hands an attacker something.</t>
  </si>
  <si>
    <t xml:space="preserve">Clear drops</t>
  </si>
  <si>
    <t xml:space="preserve">Cost, performance, availability, and tagging controls. EBS optimization, lifecycle rules, Multi-AZ, snapshot tag propagation, backup retention, instance sizing. None changes what an attacker can do.</t>
  </si>
  <si>
    <t xml:space="preserve">POLICY QUESTION 1</t>
  </si>
  <si>
    <t xml:space="preserve">Do DETECTIVE controls count? Access logging, CloudTrail coverage, query logging, GuardDuty, log encryption. These do not change attacker capability; they change whether you notice. Covers 8 of the 13 ambiguous decisions.</t>
  </si>
  <si>
    <t xml:space="preserve">POLICY QUESTION 2</t>
  </si>
  <si>
    <t xml:space="preserve">Do RECOVERY controls count? S3 versioning is the case here. It does not prevent compromise; it determines whether object deletion or ransomware is reversible. Covers 1 decision.</t>
  </si>
  <si>
    <t xml:space="preserve">POLICY QUESTION 3</t>
  </si>
  <si>
    <t xml:space="preserve">Do DEFENCE-IN-DEPTH controls count? WAF in front of a public endpoint, ECR image scanning, Bedrock guardrails. These add a protective layer rather than fixing a specific weakness. Covers 4 decisions.</t>
  </si>
  <si>
    <t xml:space="preserve">Answer each ONCE</t>
  </si>
  <si>
    <t xml:space="preserve">Your answer to each policy question determines every decision in that group. Record the answer in the Rationale column of the first row you decide, then apply it consistently. Consistency is what makes single-rater ground truth defensible (method section 3.7).</t>
  </si>
  <si>
    <t xml:space="preserve">Sensitivity analysis</t>
  </si>
  <si>
    <t xml:space="preserve">Because these boundaries are contestable, the scoring harness will report primary results under your classification AND how far F1 moves if the ambiguous group flips. Re-scoring is offline and costs nothing — no model re-runs. So a debatable call here is disclosed, not fatal.</t>
  </si>
  <si>
    <t xml:space="preserve">Do NOT tune to models</t>
  </si>
  <si>
    <t xml:space="preserve">Decide what a security architect would report. Do not choose the classification that makes model scores look better — that is circular and would invalidate the results.</t>
  </si>
  <si>
    <t xml:space="preserve">Instances</t>
  </si>
  <si>
    <t xml:space="preserve">Files</t>
  </si>
  <si>
    <t xml:space="preserve">Corpora</t>
  </si>
  <si>
    <t xml:space="preserve">Resource Types</t>
  </si>
  <si>
    <t xml:space="preserve">Issue Category</t>
  </si>
  <si>
    <t xml:space="preserve">CWE</t>
  </si>
  <si>
    <t xml:space="preserve">Severity</t>
  </si>
  <si>
    <t xml:space="preserve">CKV_AWS_18</t>
  </si>
  <si>
    <t xml:space="preserve">Ensure the S3 bucket has access logging enabled</t>
  </si>
  <si>
    <t xml:space="preserve">cloudgoat-probe, terragoat</t>
  </si>
  <si>
    <t xml:space="preserve">aws_s3_bucket</t>
  </si>
  <si>
    <t xml:space="preserve">undecided</t>
  </si>
  <si>
    <t xml:space="preserve">CKV_AWS_129</t>
  </si>
  <si>
    <t xml:space="preserve">Ensure that respective logs of Amazon Relational Database Service (Amazon RDS) are enabled</t>
  </si>
  <si>
    <t xml:space="preserve">aws_db_instance</t>
  </si>
  <si>
    <t xml:space="preserve">CKV_AWS_158</t>
  </si>
  <si>
    <t xml:space="preserve">Ensure that CloudWatch Log Group is encrypted by KMS</t>
  </si>
  <si>
    <t xml:space="preserve">cloudgoat-probe</t>
  </si>
  <si>
    <t xml:space="preserve">aws_cloudwatch_log_group</t>
  </si>
  <si>
    <t xml:space="preserve">CKV2_AWS_30</t>
  </si>
  <si>
    <t xml:space="preserve">Ensure Postgres RDS as aws_db_instance has Query Logging enabled</t>
  </si>
  <si>
    <t xml:space="preserve">CKV2_AWS_29</t>
  </si>
  <si>
    <t xml:space="preserve">Ensure public API gateway are protected by WAF</t>
  </si>
  <si>
    <t xml:space="preserve">aws_api_gateway_stage</t>
  </si>
  <si>
    <t xml:space="preserve">CKV_AWS_76</t>
  </si>
  <si>
    <t xml:space="preserve">Ensure API Gateway has Access Logging enabled</t>
  </si>
  <si>
    <t xml:space="preserve">CKV2_AWS_10</t>
  </si>
  <si>
    <t xml:space="preserve">Ensure CloudTrail trails are integrated with CloudWatch Logs</t>
  </si>
  <si>
    <t xml:space="preserve">aws_cloudtrail</t>
  </si>
  <si>
    <t xml:space="preserve">CKV2_AWS_28</t>
  </si>
  <si>
    <t xml:space="preserve">Ensure public facing ALB are protected by WAF</t>
  </si>
  <si>
    <t xml:space="preserve">aws_lb</t>
  </si>
  <si>
    <t xml:space="preserve">CKV2_AWS_3</t>
  </si>
  <si>
    <t xml:space="preserve">Ensure GuardDuty is enabled to specific org/region</t>
  </si>
  <si>
    <t xml:space="preserve">aws_guardduty_detector</t>
  </si>
  <si>
    <t xml:space="preserve">CKV_AWS_163</t>
  </si>
  <si>
    <t xml:space="preserve">Ensure ECR image scanning on push is enabled</t>
  </si>
  <si>
    <t xml:space="preserve">aws_ecr_repository</t>
  </si>
  <si>
    <t xml:space="preserve">CKV_AWS_383</t>
  </si>
  <si>
    <t xml:space="preserve">Ensure AWS Bedrock agent is associated with Bedrock guardrails</t>
  </si>
  <si>
    <t xml:space="preserve">aws_bedrockagent_agent</t>
  </si>
  <si>
    <t xml:space="preserve">CKV_AWS_67</t>
  </si>
  <si>
    <t xml:space="preserve">Ensure CloudTrail is enabled in all Regions</t>
  </si>
  <si>
    <t xml:space="preserve">CKV_AWS_23</t>
  </si>
  <si>
    <t xml:space="preserve">Ensure every security group and rule has a description</t>
  </si>
  <si>
    <t xml:space="preserve">aws_security_group, aws_security_group_rule</t>
  </si>
  <si>
    <t xml:space="preserve">operational</t>
  </si>
  <si>
    <t xml:space="preserve">non_security</t>
  </si>
  <si>
    <t xml:space="preserve">CKV2_AWS_61</t>
  </si>
  <si>
    <t xml:space="preserve">Ensure that an S3 bucket has a lifecycle configuration</t>
  </si>
  <si>
    <t xml:space="preserve">CKV_AWS_126</t>
  </si>
  <si>
    <t xml:space="preserve">Ensure that detailed monitoring is enabled for EC2 instances</t>
  </si>
  <si>
    <t xml:space="preserve">aws_instance</t>
  </si>
  <si>
    <t xml:space="preserve">CKV_AWS_135</t>
  </si>
  <si>
    <t xml:space="preserve">Ensure that EC2 is EBS optimized</t>
  </si>
  <si>
    <t xml:space="preserve">CKV_AWS_144</t>
  </si>
  <si>
    <t xml:space="preserve">Ensure that S3 bucket has cross-region replication enabled</t>
  </si>
  <si>
    <t xml:space="preserve">CKV2_AWS_62</t>
  </si>
  <si>
    <t xml:space="preserve">Ensure S3 buckets should have event notifications enabled</t>
  </si>
  <si>
    <t xml:space="preserve">CKV2_AWS_11</t>
  </si>
  <si>
    <t xml:space="preserve">Ensure VPC flow logging is enabled in all VPCs</t>
  </si>
  <si>
    <t xml:space="preserve">aws_vpc</t>
  </si>
  <si>
    <t xml:space="preserve">CKV_AWS_115</t>
  </si>
  <si>
    <t xml:space="preserve">Ensure that AWS Lambda function is configured for function-level concurrent execution limit</t>
  </si>
  <si>
    <t xml:space="preserve">aws_lambda_function</t>
  </si>
  <si>
    <t xml:space="preserve">CKV_AWS_116</t>
  </si>
  <si>
    <t xml:space="preserve">Ensure that AWS Lambda function is configured for a Dead Letter Queue(DLQ)</t>
  </si>
  <si>
    <t xml:space="preserve">CKV_AWS_50</t>
  </si>
  <si>
    <t xml:space="preserve">X-Ray tracing is enabled for Lambda</t>
  </si>
  <si>
    <t xml:space="preserve">CKV2_AWS_60</t>
  </si>
  <si>
    <t xml:space="preserve">Ensure RDS instance with copy tags to snapshots is enabled</t>
  </si>
  <si>
    <t xml:space="preserve">CKV_AWS_118</t>
  </si>
  <si>
    <t xml:space="preserve">Ensure that enhanced monitoring is enabled for Amazon RDS instances</t>
  </si>
  <si>
    <t xml:space="preserve">CKV_AWS_157</t>
  </si>
  <si>
    <t xml:space="preserve">Ensure that RDS instances have Multi-AZ enabled</t>
  </si>
  <si>
    <t xml:space="preserve">CKV_AWS_293</t>
  </si>
  <si>
    <t xml:space="preserve">Ensure that AWS database instances have deletion protection enabled</t>
  </si>
  <si>
    <t xml:space="preserve">CKV_AWS_338</t>
  </si>
  <si>
    <t xml:space="preserve">Ensure CloudWatch log groups retains logs for at least 1 year</t>
  </si>
  <si>
    <t xml:space="preserve">CKV_AWS_353</t>
  </si>
  <si>
    <t xml:space="preserve">Ensure that RDS instances have performance insights enabled</t>
  </si>
  <si>
    <t xml:space="preserve">CKV_AWS_65</t>
  </si>
  <si>
    <t xml:space="preserve">Ensure container insights are enabled on ECS cluster</t>
  </si>
  <si>
    <t xml:space="preserve">aws_ecs_cluster</t>
  </si>
  <si>
    <t xml:space="preserve">CKV_AWS_66</t>
  </si>
  <si>
    <t xml:space="preserve">Ensure that CloudWatch Log Group specifies retention days</t>
  </si>
  <si>
    <t xml:space="preserve">CKV2_AWS_4</t>
  </si>
  <si>
    <t xml:space="preserve">Ensure API Gateway stage have logging level defined as appropriate</t>
  </si>
  <si>
    <t xml:space="preserve">CKV_AWS_120</t>
  </si>
  <si>
    <t xml:space="preserve">Ensure API Gateway caching is enabled</t>
  </si>
  <si>
    <t xml:space="preserve">CKV_AWS_133</t>
  </si>
  <si>
    <t xml:space="preserve">Ensure that RDS instances has backup policy</t>
  </si>
  <si>
    <t xml:space="preserve">CKV_AWS_217</t>
  </si>
  <si>
    <t xml:space="preserve">Ensure Create before destroy for API deployments</t>
  </si>
  <si>
    <t xml:space="preserve">aws_api_gateway_deployment</t>
  </si>
  <si>
    <t xml:space="preserve">CKV_AWS_237</t>
  </si>
  <si>
    <t xml:space="preserve">Ensure Create before destroy for API Gateway</t>
  </si>
  <si>
    <t xml:space="preserve">aws_api_gateway_rest_api</t>
  </si>
  <si>
    <t xml:space="preserve">CKV_AWS_252</t>
  </si>
  <si>
    <t xml:space="preserve">Ensure CloudTrail defines an SNS Topic</t>
  </si>
  <si>
    <t xml:space="preserve">CKV_AWS_73</t>
  </si>
  <si>
    <t xml:space="preserve">Ensure API Gateway has X-Ray Tracing enabled</t>
  </si>
  <si>
    <t xml:space="preserve">CKV2_AWS_5</t>
  </si>
  <si>
    <t xml:space="preserve">Ensure that Security Groups are attached to another resource</t>
  </si>
  <si>
    <t xml:space="preserve">aws_security_group</t>
  </si>
  <si>
    <t xml:space="preserve">CKV_AWS_150</t>
  </si>
  <si>
    <t xml:space="preserve">Ensure that Load Balancer has deletion protection enabled</t>
  </si>
  <si>
    <t xml:space="preserve">CKV_AWS_261</t>
  </si>
  <si>
    <t xml:space="preserve">Ensure HTTP HTTPS Target group defines Healthcheck</t>
  </si>
  <si>
    <t xml:space="preserve">aws_lb_target_group</t>
  </si>
  <si>
    <t xml:space="preserve">CKV_AWS_28</t>
  </si>
  <si>
    <t xml:space="preserve">Ensure DynamoDB point in time recovery (backup) is enabled</t>
  </si>
  <si>
    <t xml:space="preserve">aws_dynamodb_table</t>
  </si>
  <si>
    <t xml:space="preserve">CKV_AWS_312</t>
  </si>
  <si>
    <t xml:space="preserve">Ensure Elastic Beanstalk environments have enhanced health reporting enabled</t>
  </si>
  <si>
    <t xml:space="preserve">aws_elastic_beanstalk_environment</t>
  </si>
  <si>
    <t xml:space="preserve">CKV_AWS_314</t>
  </si>
  <si>
    <t xml:space="preserve">Ensure CodeBuild project environments have a logging configuration</t>
  </si>
  <si>
    <t xml:space="preserve">aws_codebuild_project</t>
  </si>
  <si>
    <t xml:space="preserve">CKV_AWS_355</t>
  </si>
  <si>
    <t xml:space="preserve">Ensure no IAM policies documents allow "*" as a statement's resource for restrictable actions</t>
  </si>
  <si>
    <t xml:space="preserve">aws_iam_policy, aws_iam_role_policy, aws_iam_user_policy</t>
  </si>
  <si>
    <t xml:space="preserve">security</t>
  </si>
  <si>
    <t xml:space="preserve">iam_wildcard_resource</t>
  </si>
  <si>
    <t xml:space="preserve">CWE-732</t>
  </si>
  <si>
    <t xml:space="preserve">high</t>
  </si>
  <si>
    <t xml:space="preserve">CKV_AWS_273</t>
  </si>
  <si>
    <t xml:space="preserve">Ensure access is controlled through SSO and not AWS IAM defined users</t>
  </si>
  <si>
    <t xml:space="preserve">aws_iam_user</t>
  </si>
  <si>
    <t xml:space="preserve">iam_user_instead_of_sso</t>
  </si>
  <si>
    <t xml:space="preserve">CWE-284</t>
  </si>
  <si>
    <t xml:space="preserve">low</t>
  </si>
  <si>
    <t xml:space="preserve">CKV_AWS_382</t>
  </si>
  <si>
    <t xml:space="preserve">Ensure no security groups allow egress from 0.0.0.0:0 to port -1</t>
  </si>
  <si>
    <t xml:space="preserve">network_egress_unrestricted</t>
  </si>
  <si>
    <t xml:space="preserve">medium</t>
  </si>
  <si>
    <t xml:space="preserve">CKV_AWS_290</t>
  </si>
  <si>
    <t xml:space="preserve">Ensure IAM policies does not allow write access without constraints</t>
  </si>
  <si>
    <t xml:space="preserve">iam_write_without_constraint</t>
  </si>
  <si>
    <t xml:space="preserve">CWE-269</t>
  </si>
  <si>
    <t xml:space="preserve">CKV2_AWS_6</t>
  </si>
  <si>
    <t xml:space="preserve">Ensure that S3 bucket has a Public Access block</t>
  </si>
  <si>
    <t xml:space="preserve">public_access</t>
  </si>
  <si>
    <t xml:space="preserve">CKV_AWS_145</t>
  </si>
  <si>
    <t xml:space="preserve">Ensure that S3 buckets are encrypted with KMS by default</t>
  </si>
  <si>
    <t xml:space="preserve">encryption_at_rest_cmk</t>
  </si>
  <si>
    <t xml:space="preserve">CWE-311</t>
  </si>
  <si>
    <t xml:space="preserve">CKV2_AWS_12</t>
  </si>
  <si>
    <t xml:space="preserve">Ensure the default security group of every VPC restricts all traffic</t>
  </si>
  <si>
    <t xml:space="preserve">network_default_sg_open</t>
  </si>
  <si>
    <t xml:space="preserve">CKV_AWS_79</t>
  </si>
  <si>
    <t xml:space="preserve">Ensure Instance Metadata Service Version 1 is not enabled</t>
  </si>
  <si>
    <t xml:space="preserve">aws_instance, aws_launch_template</t>
  </si>
  <si>
    <t xml:space="preserve">imdsv1_enabled</t>
  </si>
  <si>
    <t xml:space="preserve">CWE-441</t>
  </si>
  <si>
    <t xml:space="preserve">CKV_AWS_88</t>
  </si>
  <si>
    <t xml:space="preserve">EC2 instance should not have public IP.</t>
  </si>
  <si>
    <t xml:space="preserve">public_ip_assignment</t>
  </si>
  <si>
    <t xml:space="preserve">CKV_AWS_8</t>
  </si>
  <si>
    <t xml:space="preserve">Ensure all data stored in the Launch configuration or instance Elastic Blocks Store is securely encrypted</t>
  </si>
  <si>
    <t xml:space="preserve">encryption_at_rest</t>
  </si>
  <si>
    <t xml:space="preserve">CKV_AWS_289</t>
  </si>
  <si>
    <t xml:space="preserve">Ensure IAM policies does not allow permissions management / resource exposure without constraints</t>
  </si>
  <si>
    <t xml:space="preserve">iam_permissions_management</t>
  </si>
  <si>
    <t xml:space="preserve">CKV_AWS_24</t>
  </si>
  <si>
    <t xml:space="preserve">Ensure no security groups allow ingress from 0.0.0.0:0 to port 22</t>
  </si>
  <si>
    <t xml:space="preserve">network_ingress_unrestricted</t>
  </si>
  <si>
    <t xml:space="preserve">CKV_AWS_272</t>
  </si>
  <si>
    <t xml:space="preserve">Ensure AWS Lambda function is configured to validate code-signing</t>
  </si>
  <si>
    <t xml:space="preserve">code_signing_disabled</t>
  </si>
  <si>
    <t xml:space="preserve">CWE-347</t>
  </si>
  <si>
    <t xml:space="preserve">CKV_AWS_130</t>
  </si>
  <si>
    <t xml:space="preserve">Ensure VPC subnets do not assign public IP by default</t>
  </si>
  <si>
    <t xml:space="preserve">aws_subnet</t>
  </si>
  <si>
    <t xml:space="preserve">CKV_AWS_117</t>
  </si>
  <si>
    <t xml:space="preserve">Ensure that AWS Lambda function is configured inside a VPC</t>
  </si>
  <si>
    <t xml:space="preserve">lambda_outside_vpc</t>
  </si>
  <si>
    <t xml:space="preserve">CKV_AWS_288</t>
  </si>
  <si>
    <t xml:space="preserve">Ensure IAM policies does not allow data exfiltration</t>
  </si>
  <si>
    <t xml:space="preserve">iam_data_exfiltration</t>
  </si>
  <si>
    <t xml:space="preserve">CKV_AWS_173</t>
  </si>
  <si>
    <t xml:space="preserve">Check encryption settings for Lambda environmental variable</t>
  </si>
  <si>
    <t xml:space="preserve">CKV_AWS_260</t>
  </si>
  <si>
    <t xml:space="preserve">Ensure no security groups allow ingress from 0.0.0.0:0 to port 80</t>
  </si>
  <si>
    <t xml:space="preserve">CKV_AWS_287</t>
  </si>
  <si>
    <t xml:space="preserve">Ensure IAM policies does not allow credentials exposure</t>
  </si>
  <si>
    <t xml:space="preserve">iam_credentials_exposure</t>
  </si>
  <si>
    <t xml:space="preserve">CWE-522</t>
  </si>
  <si>
    <t xml:space="preserve">critical</t>
  </si>
  <si>
    <t xml:space="preserve">CKV2_AWS_57</t>
  </si>
  <si>
    <t xml:space="preserve">Ensure Secrets Manager secrets should have automatic rotation enabled</t>
  </si>
  <si>
    <t xml:space="preserve">aws_secretsmanager_secret</t>
  </si>
  <si>
    <t xml:space="preserve">credential_rotation_disabled</t>
  </si>
  <si>
    <t xml:space="preserve">CWE-798</t>
  </si>
  <si>
    <t xml:space="preserve">CKV_AWS_149</t>
  </si>
  <si>
    <t xml:space="preserve">Ensure that Secrets Manager secret is encrypted using KMS CMK</t>
  </si>
  <si>
    <t xml:space="preserve">CKV_AWS_161</t>
  </si>
  <si>
    <t xml:space="preserve">Ensure RDS database has IAM authentication enabled</t>
  </si>
  <si>
    <t xml:space="preserve">weak_authentication</t>
  </si>
  <si>
    <t xml:space="preserve">CWE-287</t>
  </si>
  <si>
    <t xml:space="preserve">CKV_AWS_226</t>
  </si>
  <si>
    <t xml:space="preserve">Ensure DB instance gets all minor upgrades automatically</t>
  </si>
  <si>
    <t xml:space="preserve">missing_auto_patching</t>
  </si>
  <si>
    <t xml:space="preserve">CWE-1104</t>
  </si>
  <si>
    <t xml:space="preserve">CKV_AWS_286</t>
  </si>
  <si>
    <t xml:space="preserve">Ensure IAM policies does not allow privilege escalation</t>
  </si>
  <si>
    <t xml:space="preserve">aws_iam_policy, aws_iam_user_policy</t>
  </si>
  <si>
    <t xml:space="preserve">iam_privilege_escalation</t>
  </si>
  <si>
    <t xml:space="preserve">CKV_AWS_363</t>
  </si>
  <si>
    <t xml:space="preserve">Ensure Lambda Runtime is not deprecated</t>
  </si>
  <si>
    <t xml:space="preserve">deprecated_runtime</t>
  </si>
  <si>
    <t xml:space="preserve">CKV_AWS_16</t>
  </si>
  <si>
    <t xml:space="preserve">Ensure all data stored in the RDS is securely encrypted at rest</t>
  </si>
  <si>
    <t xml:space="preserve">CKV_AWS_40</t>
  </si>
  <si>
    <t xml:space="preserve">Ensure IAM policies are attached only to groups or roles (Reducing access management complexity may in-turn reduce opportunity for a principal to inadvertently receive or retain excessive privileges.)</t>
  </si>
  <si>
    <t xml:space="preserve">aws_iam_user_policy_attachment</t>
  </si>
  <si>
    <t xml:space="preserve">iam_direct_user_policy</t>
  </si>
  <si>
    <t xml:space="preserve">CKV_AWS_54</t>
  </si>
  <si>
    <t xml:space="preserve">Ensure S3 bucket has block public policy enabled</t>
  </si>
  <si>
    <t xml:space="preserve">aws_s3_bucket_public_access_block</t>
  </si>
  <si>
    <t xml:space="preserve">CKV2_AWS_53</t>
  </si>
  <si>
    <t xml:space="preserve">Ensure AWS API gateway request is validated</t>
  </si>
  <si>
    <t xml:space="preserve">aws_api_gateway_method</t>
  </si>
  <si>
    <t xml:space="preserve">missing_input_validation</t>
  </si>
  <si>
    <t xml:space="preserve">CWE-20</t>
  </si>
  <si>
    <t xml:space="preserve">CKV_AWS_53</t>
  </si>
  <si>
    <t xml:space="preserve">Ensure S3 bucket has block public ACLS enabled</t>
  </si>
  <si>
    <t xml:space="preserve">CKV_AWS_70</t>
  </si>
  <si>
    <t xml:space="preserve">Ensure S3 bucket does not allow an action with any Principal</t>
  </si>
  <si>
    <t xml:space="preserve">aws_s3_bucket_policy</t>
  </si>
  <si>
    <t xml:space="preserve">CKV2_AWS_34</t>
  </si>
  <si>
    <t xml:space="preserve">AWS SSM Parameter should be Encrypted</t>
  </si>
  <si>
    <t xml:space="preserve">aws_ssm_parameter</t>
  </si>
  <si>
    <t xml:space="preserve">CKV2_AWS_41</t>
  </si>
  <si>
    <t xml:space="preserve">Ensure an IAM role is attached to EC2 instance</t>
  </si>
  <si>
    <t xml:space="preserve">iam_missing_role</t>
  </si>
  <si>
    <t xml:space="preserve">CKV_AWS_26</t>
  </si>
  <si>
    <t xml:space="preserve">Ensure all data stored in the SNS topic is encrypted</t>
  </si>
  <si>
    <t xml:space="preserve">aws_sns_topic</t>
  </si>
  <si>
    <t xml:space="preserve">CKV_AWS_274</t>
  </si>
  <si>
    <t xml:space="preserve">Disallow IAM roles, users, and groups from using the AWS AdministratorAccess policy</t>
  </si>
  <si>
    <t xml:space="preserve">aws_iam_role_policy_attachment</t>
  </si>
  <si>
    <t xml:space="preserve">iam_administrator_access</t>
  </si>
  <si>
    <t xml:space="preserve">CKV_AWS_336</t>
  </si>
  <si>
    <t xml:space="preserve">Ensure ECS containers are limited to read-only access to root filesystems</t>
  </si>
  <si>
    <t xml:space="preserve">aws_ecs_task_definition</t>
  </si>
  <si>
    <t xml:space="preserve">container_writable_root_fs</t>
  </si>
  <si>
    <t xml:space="preserve">CKV_AWS_55</t>
  </si>
  <si>
    <t xml:space="preserve">Ensure S3 bucket has ignore public ACLs enabled</t>
  </si>
  <si>
    <t xml:space="preserve">CKV_AWS_56</t>
  </si>
  <si>
    <t xml:space="preserve">Ensure S3 bucket has 'restrict_public_buckets' enabled</t>
  </si>
  <si>
    <t xml:space="preserve">CKV_AWS_59</t>
  </si>
  <si>
    <t xml:space="preserve">Ensure there is no open access to back-end resources through API</t>
  </si>
  <si>
    <t xml:space="preserve">CKV2_AWS_40</t>
  </si>
  <si>
    <t xml:space="preserve">Ensure AWS IAM policy does not allow full IAM privileges</t>
  </si>
  <si>
    <t xml:space="preserve">aws_iam_policy</t>
  </si>
  <si>
    <t xml:space="preserve">CKV2_AWS_51</t>
  </si>
  <si>
    <t xml:space="preserve">Ensure AWS API Gateway endpoints uses client certificate authentication</t>
  </si>
  <si>
    <t xml:space="preserve">CKV_AWS_35</t>
  </si>
  <si>
    <t xml:space="preserve">Ensure CloudTrail logs are encrypted at rest using KMS CMKs</t>
  </si>
  <si>
    <t xml:space="preserve">CKV_AWS_36</t>
  </si>
  <si>
    <t xml:space="preserve">Ensure CloudTrail log file validation is enabled</t>
  </si>
  <si>
    <t xml:space="preserve">log_integrity_validation</t>
  </si>
  <si>
    <t xml:space="preserve">CWE-345</t>
  </si>
  <si>
    <t xml:space="preserve">CKV_AWS_62</t>
  </si>
  <si>
    <t xml:space="preserve">Ensure IAM policies that allow full "*-*" administrative privileges are not created</t>
  </si>
  <si>
    <t xml:space="preserve">CKV_AWS_63</t>
  </si>
  <si>
    <t xml:space="preserve">Ensure no IAM policies documents allow "*" as a statement's actions</t>
  </si>
  <si>
    <t xml:space="preserve">iam_wildcard_action</t>
  </si>
  <si>
    <t xml:space="preserve">CKV2_AWS_2</t>
  </si>
  <si>
    <t xml:space="preserve">Ensure that only encrypted EBS volumes are attached to EC2 instances</t>
  </si>
  <si>
    <t xml:space="preserve">terragoat</t>
  </si>
  <si>
    <t xml:space="preserve">aws_ebs_volume</t>
  </si>
  <si>
    <t xml:space="preserve">CKV2_AWS_20</t>
  </si>
  <si>
    <t xml:space="preserve">Ensure that ALB redirects HTTP requests into HTTPS ones</t>
  </si>
  <si>
    <t xml:space="preserve">encryption_in_transit</t>
  </si>
  <si>
    <t xml:space="preserve">CWE-319</t>
  </si>
  <si>
    <t xml:space="preserve">CKV2_AWS_64</t>
  </si>
  <si>
    <t xml:space="preserve">Ensure KMS key Policy is defined</t>
  </si>
  <si>
    <t xml:space="preserve">aws_kms_key</t>
  </si>
  <si>
    <t xml:space="preserve">key_policy_missing</t>
  </si>
  <si>
    <t xml:space="preserve">CKV2_AWS_65</t>
  </si>
  <si>
    <t xml:space="preserve">Ensure access control lists for S3 buckets are disabled</t>
  </si>
  <si>
    <t xml:space="preserve">aws_s3_bucket_ownership_controls</t>
  </si>
  <si>
    <t xml:space="preserve">CKV2_AWS_69</t>
  </si>
  <si>
    <t xml:space="preserve">Ensure AWS RDS database instance configured with encryption in transit</t>
  </si>
  <si>
    <t xml:space="preserve">CKV_AWS_103</t>
  </si>
  <si>
    <t xml:space="preserve">Ensure that load balancer is using at least TLS 1.2</t>
  </si>
  <si>
    <t xml:space="preserve">aws_lb_listener</t>
  </si>
  <si>
    <t xml:space="preserve">CKV_AWS_112</t>
  </si>
  <si>
    <t xml:space="preserve">Ensure Session Manager data is encrypted in transit</t>
  </si>
  <si>
    <t xml:space="preserve">aws_ssm_document</t>
  </si>
  <si>
    <t xml:space="preserve">CKV_AWS_113</t>
  </si>
  <si>
    <t xml:space="preserve">Ensure Session Manager logs are enabled and encrypted</t>
  </si>
  <si>
    <t xml:space="preserve">CKV_AWS_119</t>
  </si>
  <si>
    <t xml:space="preserve">Ensure DynamoDB Tables are encrypted using a KMS Customer Managed CMK</t>
  </si>
  <si>
    <t xml:space="preserve">CKV_AWS_131</t>
  </si>
  <si>
    <t xml:space="preserve">Ensure that ALB drops HTTP headers</t>
  </si>
  <si>
    <t xml:space="preserve">header_injection_risk</t>
  </si>
  <si>
    <t xml:space="preserve">CWE-444</t>
  </si>
  <si>
    <t xml:space="preserve">CKV_AWS_136</t>
  </si>
  <si>
    <t xml:space="preserve">Ensure that ECR repositories are encrypted using KMS</t>
  </si>
  <si>
    <t xml:space="preserve">CKV_AWS_169</t>
  </si>
  <si>
    <t xml:space="preserve">Ensure SNS topic policy is not public by only allowing specific services or principals to access it</t>
  </si>
  <si>
    <t xml:space="preserve">aws_sns_topic_policy</t>
  </si>
  <si>
    <t xml:space="preserve">CKV_AWS_17</t>
  </si>
  <si>
    <t xml:space="preserve">Ensure all data stored in RDS is not publicly accessible</t>
  </si>
  <si>
    <t xml:space="preserve">CKV_AWS_184</t>
  </si>
  <si>
    <t xml:space="preserve">Ensure resource is encrypted by KMS using a customer managed Key (CMK)</t>
  </si>
  <si>
    <t xml:space="preserve">aws_efs_file_system</t>
  </si>
  <si>
    <t xml:space="preserve">CKV_AWS_186</t>
  </si>
  <si>
    <t xml:space="preserve">Ensure S3 bucket Object is encrypted by KMS using a customer managed Key (CMK)</t>
  </si>
  <si>
    <t xml:space="preserve">aws_s3_bucket_object</t>
  </si>
  <si>
    <t xml:space="preserve">CKV_AWS_189</t>
  </si>
  <si>
    <t xml:space="preserve">Ensure EBS Volume is encrypted by KMS using a customer managed Key (CMK)</t>
  </si>
  <si>
    <t xml:space="preserve">CKV_AWS_195</t>
  </si>
  <si>
    <t xml:space="preserve">Ensure Glue component has a security configuration associated</t>
  </si>
  <si>
    <t xml:space="preserve">aws_glue_job</t>
  </si>
  <si>
    <t xml:space="preserve">security_config_missing</t>
  </si>
  <si>
    <t xml:space="preserve">CWE-1188</t>
  </si>
  <si>
    <t xml:space="preserve">CKV_AWS_2</t>
  </si>
  <si>
    <t xml:space="preserve">Ensure ALB protocol is HTTPS</t>
  </si>
  <si>
    <t xml:space="preserve">CKV_AWS_249</t>
  </si>
  <si>
    <t xml:space="preserve">Ensure that the Execution Role ARN and the Task Role ARN are different in ECS Task definitions</t>
  </si>
  <si>
    <t xml:space="preserve">iam_role_separation</t>
  </si>
  <si>
    <t xml:space="preserve">CKV_AWS_25</t>
  </si>
  <si>
    <t xml:space="preserve">Ensure no security groups allow ingress from 0.0.0.0:0 to port 3389</t>
  </si>
  <si>
    <t xml:space="preserve">CKV_AWS_277</t>
  </si>
  <si>
    <t xml:space="preserve">Ensure no security groups allow ingress from 0.0.0.0:0 to port -1</t>
  </si>
  <si>
    <t xml:space="preserve">CKV_AWS_3</t>
  </si>
  <si>
    <t xml:space="preserve">Ensure all data stored in the EBS is securely encrypted</t>
  </si>
  <si>
    <t xml:space="preserve">CKV_AWS_333</t>
  </si>
  <si>
    <t xml:space="preserve">Ensure ECS services do not have public IP addresses assigned to them automatically</t>
  </si>
  <si>
    <t xml:space="preserve">aws_ecs_service</t>
  </si>
  <si>
    <t xml:space="preserve">CKV_AWS_340</t>
  </si>
  <si>
    <t xml:space="preserve">Ensure Elastic Beanstalk managed platform updates are enabled</t>
  </si>
  <si>
    <t xml:space="preserve">CKV_AWS_364</t>
  </si>
  <si>
    <t xml:space="preserve">Ensure that AWS Lambda function permissions delegated to AWS services are limited by SourceArn or SourceAccount</t>
  </si>
  <si>
    <t xml:space="preserve">aws_lambda_permission</t>
  </si>
  <si>
    <t xml:space="preserve">CKV_AWS_373</t>
  </si>
  <si>
    <t xml:space="preserve">Ensure Bedrock Agent is encrypted with a CMK</t>
  </si>
  <si>
    <t xml:space="preserve">CKV_AWS_42</t>
  </si>
  <si>
    <t xml:space="preserve">Ensure EFS is securely encrypted</t>
  </si>
  <si>
    <t xml:space="preserve">CKV_AWS_45</t>
  </si>
  <si>
    <t xml:space="preserve">Ensure no hard-coded secrets exist in lambda environment</t>
  </si>
  <si>
    <t xml:space="preserve">hardcoded_secret</t>
  </si>
  <si>
    <t xml:space="preserve">CKV_AWS_46</t>
  </si>
  <si>
    <t xml:space="preserve">Ensure no hard-coded secrets exist in EC2 user data</t>
  </si>
  <si>
    <t xml:space="preserve">CKV_AWS_51</t>
  </si>
  <si>
    <t xml:space="preserve">Ensure ECR Image Tags are immutable</t>
  </si>
  <si>
    <t xml:space="preserve">image_tag_mutable</t>
  </si>
  <si>
    <t xml:space="preserve">CKV_AWS_7</t>
  </si>
  <si>
    <t xml:space="preserve">Ensure rotation for customer created CMKs is enabled</t>
  </si>
  <si>
    <t xml:space="preserve">key_rotation_disabled</t>
  </si>
  <si>
    <t xml:space="preserve">CWE-320</t>
  </si>
  <si>
    <t xml:space="preserve">CKV_AWS_94</t>
  </si>
  <si>
    <t xml:space="preserve">Ensure Glue Data Catalog Encryption is enabled</t>
  </si>
  <si>
    <t xml:space="preserve">aws_glue_data_catalog_encryption_settings</t>
  </si>
  <si>
    <t xml:space="preserve">ID</t>
  </si>
  <si>
    <t xml:space="preserve">Corpus</t>
  </si>
  <si>
    <t xml:space="preserve">File</t>
  </si>
  <si>
    <t xml:space="preserve">Resource</t>
  </si>
  <si>
    <t xml:space="preserve">Inherited Verdict</t>
  </si>
  <si>
    <t xml:space="preserve">GT-001</t>
  </si>
  <si>
    <t xml:space="preserve">db-app.tf</t>
  </si>
  <si>
    <t xml:space="preserve">aws_db_instance.default</t>
  </si>
  <si>
    <t xml:space="preserve">GT-002</t>
  </si>
  <si>
    <t xml:space="preserve">GT-003</t>
  </si>
  <si>
    <t xml:space="preserve">GT-004</t>
  </si>
  <si>
    <t xml:space="preserve">GT-005</t>
  </si>
  <si>
    <t xml:space="preserve">GT-006</t>
  </si>
  <si>
    <t xml:space="preserve">GT-007</t>
  </si>
  <si>
    <t xml:space="preserve">GT-008</t>
  </si>
  <si>
    <t xml:space="preserve">GT-009</t>
  </si>
  <si>
    <t xml:space="preserve">GT-010</t>
  </si>
  <si>
    <t xml:space="preserve">GT-011</t>
  </si>
  <si>
    <t xml:space="preserve">GT-012</t>
  </si>
  <si>
    <t xml:space="preserve">aws_iam_role_policy.ec2policy</t>
  </si>
  <si>
    <t xml:space="preserve">GT-013</t>
  </si>
  <si>
    <t xml:space="preserve">GT-014</t>
  </si>
  <si>
    <t xml:space="preserve">GT-015</t>
  </si>
  <si>
    <t xml:space="preserve">GT-016</t>
  </si>
  <si>
    <t xml:space="preserve">GT-017</t>
  </si>
  <si>
    <t xml:space="preserve">aws_instance.db_app</t>
  </si>
  <si>
    <t xml:space="preserve">GT-018</t>
  </si>
  <si>
    <t xml:space="preserve">GT-019</t>
  </si>
  <si>
    <t xml:space="preserve">GT-020</t>
  </si>
  <si>
    <t xml:space="preserve">GT-021</t>
  </si>
  <si>
    <t xml:space="preserve">aws_security_group.default</t>
  </si>
  <si>
    <t xml:space="preserve">GT-022</t>
  </si>
  <si>
    <t xml:space="preserve">aws_security_group_rule.egress</t>
  </si>
  <si>
    <t xml:space="preserve">GT-023</t>
  </si>
  <si>
    <t xml:space="preserve">GT-024</t>
  </si>
  <si>
    <t xml:space="preserve">aws_security_group_rule.ingress</t>
  </si>
  <si>
    <t xml:space="preserve">GT-025</t>
  </si>
  <si>
    <t xml:space="preserve">ec2.tf</t>
  </si>
  <si>
    <t xml:space="preserve">aws_ebs_volume.web_host_storage</t>
  </si>
  <si>
    <t xml:space="preserve">GT-026</t>
  </si>
  <si>
    <t xml:space="preserve">GT-027</t>
  </si>
  <si>
    <t xml:space="preserve">GT-028</t>
  </si>
  <si>
    <t xml:space="preserve">aws_instance.web_host</t>
  </si>
  <si>
    <t xml:space="preserve">GT-029</t>
  </si>
  <si>
    <t xml:space="preserve">GT-030</t>
  </si>
  <si>
    <t xml:space="preserve">GT-031</t>
  </si>
  <si>
    <t xml:space="preserve">GT-032</t>
  </si>
  <si>
    <t xml:space="preserve">GT-033</t>
  </si>
  <si>
    <t xml:space="preserve">GT-034</t>
  </si>
  <si>
    <t xml:space="preserve">aws_s3_bucket.flowbucket</t>
  </si>
  <si>
    <t xml:space="preserve">GT-035</t>
  </si>
  <si>
    <t xml:space="preserve">GT-036</t>
  </si>
  <si>
    <t xml:space="preserve">GT-037</t>
  </si>
  <si>
    <t xml:space="preserve">GT-038</t>
  </si>
  <si>
    <t xml:space="preserve">GT-039</t>
  </si>
  <si>
    <t xml:space="preserve">GT-040</t>
  </si>
  <si>
    <t xml:space="preserve">GT-041</t>
  </si>
  <si>
    <t xml:space="preserve">aws_security_group.web-node</t>
  </si>
  <si>
    <t xml:space="preserve">GT-042</t>
  </si>
  <si>
    <t xml:space="preserve">GT-043</t>
  </si>
  <si>
    <t xml:space="preserve">GT-044</t>
  </si>
  <si>
    <t xml:space="preserve">GT-045</t>
  </si>
  <si>
    <t xml:space="preserve">aws_subnet.web_subnet</t>
  </si>
  <si>
    <t xml:space="preserve">GT-046</t>
  </si>
  <si>
    <t xml:space="preserve">aws_subnet.web_subnet2</t>
  </si>
  <si>
    <t xml:space="preserve">GT-047</t>
  </si>
  <si>
    <t xml:space="preserve">aws_vpc.web_vpc</t>
  </si>
  <si>
    <t xml:space="preserve">GT-048</t>
  </si>
  <si>
    <t xml:space="preserve">iam.tf</t>
  </si>
  <si>
    <t xml:space="preserve">aws_iam_user.user</t>
  </si>
  <si>
    <t xml:space="preserve">GT-049</t>
  </si>
  <si>
    <t xml:space="preserve">aws_iam_user_policy.userpolicy</t>
  </si>
  <si>
    <t xml:space="preserve">GT-050</t>
  </si>
  <si>
    <t xml:space="preserve">GT-051</t>
  </si>
  <si>
    <t xml:space="preserve">GT-052</t>
  </si>
  <si>
    <t xml:space="preserve">GT-053</t>
  </si>
  <si>
    <t xml:space="preserve">GT-054</t>
  </si>
  <si>
    <t xml:space="preserve">GT-055</t>
  </si>
  <si>
    <t xml:space="preserve">kms.tf</t>
  </si>
  <si>
    <t xml:space="preserve">aws_kms_key.logs_key</t>
  </si>
  <si>
    <t xml:space="preserve">GT-056</t>
  </si>
  <si>
    <t xml:space="preserve">GT-057</t>
  </si>
  <si>
    <t xml:space="preserve">lambda.tf</t>
  </si>
  <si>
    <t xml:space="preserve">aws_lambda_function.analysis_lambda</t>
  </si>
  <si>
    <t xml:space="preserve">GT-058</t>
  </si>
  <si>
    <t xml:space="preserve">GT-059</t>
  </si>
  <si>
    <t xml:space="preserve">GT-060</t>
  </si>
  <si>
    <t xml:space="preserve">GT-061</t>
  </si>
  <si>
    <t xml:space="preserve">GT-062</t>
  </si>
  <si>
    <t xml:space="preserve">GT-063</t>
  </si>
  <si>
    <t xml:space="preserve">GT-064</t>
  </si>
  <si>
    <t xml:space="preserve">GT-065</t>
  </si>
  <si>
    <t xml:space="preserve">s3.tf</t>
  </si>
  <si>
    <t xml:space="preserve">aws_s3_bucket.data</t>
  </si>
  <si>
    <t xml:space="preserve">GT-066</t>
  </si>
  <si>
    <t xml:space="preserve">GT-067</t>
  </si>
  <si>
    <t xml:space="preserve">GT-068</t>
  </si>
  <si>
    <t xml:space="preserve">GT-069</t>
  </si>
  <si>
    <t xml:space="preserve">GT-070</t>
  </si>
  <si>
    <t xml:space="preserve">GT-071</t>
  </si>
  <si>
    <t xml:space="preserve">GT-072</t>
  </si>
  <si>
    <t xml:space="preserve">aws_s3_bucket.data_science</t>
  </si>
  <si>
    <t xml:space="preserve">GT-073</t>
  </si>
  <si>
    <t xml:space="preserve">GT-074</t>
  </si>
  <si>
    <t xml:space="preserve">GT-075</t>
  </si>
  <si>
    <t xml:space="preserve">GT-076</t>
  </si>
  <si>
    <t xml:space="preserve">GT-077</t>
  </si>
  <si>
    <t xml:space="preserve">aws_s3_bucket.financials</t>
  </si>
  <si>
    <t xml:space="preserve">GT-078</t>
  </si>
  <si>
    <t xml:space="preserve">GT-079</t>
  </si>
  <si>
    <t xml:space="preserve">GT-080</t>
  </si>
  <si>
    <t xml:space="preserve">GT-081</t>
  </si>
  <si>
    <t xml:space="preserve">GT-082</t>
  </si>
  <si>
    <t xml:space="preserve">GT-083</t>
  </si>
  <si>
    <t xml:space="preserve">GT-084</t>
  </si>
  <si>
    <t xml:space="preserve">aws_s3_bucket.logs</t>
  </si>
  <si>
    <t xml:space="preserve">GT-085</t>
  </si>
  <si>
    <t xml:space="preserve">GT-086</t>
  </si>
  <si>
    <t xml:space="preserve">GT-087</t>
  </si>
  <si>
    <t xml:space="preserve">GT-088</t>
  </si>
  <si>
    <t xml:space="preserve">GT-089</t>
  </si>
  <si>
    <t xml:space="preserve">aws_s3_bucket.operations</t>
  </si>
  <si>
    <t xml:space="preserve">GT-090</t>
  </si>
  <si>
    <t xml:space="preserve">GT-091</t>
  </si>
  <si>
    <t xml:space="preserve">GT-092</t>
  </si>
  <si>
    <t xml:space="preserve">GT-093</t>
  </si>
  <si>
    <t xml:space="preserve">GT-094</t>
  </si>
  <si>
    <t xml:space="preserve">GT-095</t>
  </si>
  <si>
    <t xml:space="preserve">aws_s3_bucket_object.data_object</t>
  </si>
  <si>
    <t xml:space="preserve">GT-096</t>
  </si>
  <si>
    <t xml:space="preserve">agentcore_identity_confusion/iam.tf</t>
  </si>
  <si>
    <t xml:space="preserve">aws_iam_policy.starting_user_bedrock_policy</t>
  </si>
  <si>
    <t xml:space="preserve">GT-097</t>
  </si>
  <si>
    <t xml:space="preserve">aws_iam_role_policy.agent_runtime_role_policy</t>
  </si>
  <si>
    <t xml:space="preserve">GT-098</t>
  </si>
  <si>
    <t xml:space="preserve">aws_iam_user.starting_user</t>
  </si>
  <si>
    <t xml:space="preserve">GT-099</t>
  </si>
  <si>
    <t xml:space="preserve">agentcore_identity_confusion/s3.tf</t>
  </si>
  <si>
    <t xml:space="preserve">aws_s3_bucket.kb_code_interpreter_bucket</t>
  </si>
  <si>
    <t xml:space="preserve">GT-100</t>
  </si>
  <si>
    <t xml:space="preserve">GT-101</t>
  </si>
  <si>
    <t xml:space="preserve">GT-102</t>
  </si>
  <si>
    <t xml:space="preserve">GT-103</t>
  </si>
  <si>
    <t xml:space="preserve">GT-104</t>
  </si>
  <si>
    <t xml:space="preserve">GT-105</t>
  </si>
  <si>
    <t xml:space="preserve">GT-106</t>
  </si>
  <si>
    <t xml:space="preserve">aws_s3_bucket.kb_s3_bucket</t>
  </si>
  <si>
    <t xml:space="preserve">GT-107</t>
  </si>
  <si>
    <t xml:space="preserve">GT-108</t>
  </si>
  <si>
    <t xml:space="preserve">GT-109</t>
  </si>
  <si>
    <t xml:space="preserve">GT-110</t>
  </si>
  <si>
    <t xml:space="preserve">GT-111</t>
  </si>
  <si>
    <t xml:space="preserve">GT-112</t>
  </si>
  <si>
    <t xml:space="preserve">GT-113</t>
  </si>
  <si>
    <t xml:space="preserve">beanstalk_secrets/ec2.tf</t>
  </si>
  <si>
    <t xml:space="preserve">aws_elastic_beanstalk_environment.eb_env</t>
  </si>
  <si>
    <t xml:space="preserve">GT-114</t>
  </si>
  <si>
    <t xml:space="preserve">GT-115</t>
  </si>
  <si>
    <t xml:space="preserve">beanstalk_secrets/iam.tf</t>
  </si>
  <si>
    <t xml:space="preserve">aws_iam_policy.admin_user_policy</t>
  </si>
  <si>
    <t xml:space="preserve">GT-116</t>
  </si>
  <si>
    <t xml:space="preserve">GT-117</t>
  </si>
  <si>
    <t xml:space="preserve">GT-118</t>
  </si>
  <si>
    <t xml:space="preserve">GT-119</t>
  </si>
  <si>
    <t xml:space="preserve">GT-120</t>
  </si>
  <si>
    <t xml:space="preserve">GT-121</t>
  </si>
  <si>
    <t xml:space="preserve">GT-122</t>
  </si>
  <si>
    <t xml:space="preserve">GT-123</t>
  </si>
  <si>
    <t xml:space="preserve">GT-124</t>
  </si>
  <si>
    <t xml:space="preserve">aws_iam_policy.low_priv_policy</t>
  </si>
  <si>
    <t xml:space="preserve">GT-125</t>
  </si>
  <si>
    <t xml:space="preserve">aws_iam_policy.secondary_policy</t>
  </si>
  <si>
    <t xml:space="preserve">GT-126</t>
  </si>
  <si>
    <t xml:space="preserve">GT-127</t>
  </si>
  <si>
    <t xml:space="preserve">GT-128</t>
  </si>
  <si>
    <t xml:space="preserve">GT-129</t>
  </si>
  <si>
    <t xml:space="preserve">aws_iam_user.admin_user</t>
  </si>
  <si>
    <t xml:space="preserve">GT-130</t>
  </si>
  <si>
    <t xml:space="preserve">aws_iam_user.low_priv_user</t>
  </si>
  <si>
    <t xml:space="preserve">GT-131</t>
  </si>
  <si>
    <t xml:space="preserve">aws_iam_user.secondary_user</t>
  </si>
  <si>
    <t xml:space="preserve">GT-132</t>
  </si>
  <si>
    <t xml:space="preserve">beanstalk_secrets/secrets.tf</t>
  </si>
  <si>
    <t xml:space="preserve">aws_secretsmanager_secret.final_flag</t>
  </si>
  <si>
    <t xml:space="preserve">GT-133</t>
  </si>
  <si>
    <t xml:space="preserve">GT-134</t>
  </si>
  <si>
    <t xml:space="preserve">beanstalk_secrets/vpc.tf</t>
  </si>
  <si>
    <t xml:space="preserve">aws_subnet.subnet</t>
  </si>
  <si>
    <t xml:space="preserve">GT-135</t>
  </si>
  <si>
    <t xml:space="preserve">aws_vpc.vpc</t>
  </si>
  <si>
    <t xml:space="preserve">GT-136</t>
  </si>
  <si>
    <t xml:space="preserve">GT-137</t>
  </si>
  <si>
    <t xml:space="preserve">bedrock_agent_hijacking/bedrock.tf</t>
  </si>
  <si>
    <t xml:space="preserve">aws_bedrockagent_agent.operations_agent</t>
  </si>
  <si>
    <t xml:space="preserve">GT-138</t>
  </si>
  <si>
    <t xml:space="preserve">GT-139</t>
  </si>
  <si>
    <t xml:space="preserve">bedrock_agent_hijacking/lambda.tf</t>
  </si>
  <si>
    <t xml:space="preserve">aws_cloudwatch_log_group.inventory_lambda_log_group</t>
  </si>
  <si>
    <t xml:space="preserve">GT-140</t>
  </si>
  <si>
    <t xml:space="preserve">GT-141</t>
  </si>
  <si>
    <t xml:space="preserve">bedrock_agent_hijacking/iam.tf</t>
  </si>
  <si>
    <t xml:space="preserve">GT-142</t>
  </si>
  <si>
    <t xml:space="preserve">aws_iam_policy.starting_user_deployment_policy</t>
  </si>
  <si>
    <t xml:space="preserve">GT-143</t>
  </si>
  <si>
    <t xml:space="preserve">GT-144</t>
  </si>
  <si>
    <t xml:space="preserve">GT-145</t>
  </si>
  <si>
    <t xml:space="preserve">GT-146</t>
  </si>
  <si>
    <t xml:space="preserve">aws_lambda_function.inventory_lambda</t>
  </si>
  <si>
    <t xml:space="preserve">GT-147</t>
  </si>
  <si>
    <t xml:space="preserve">GT-148</t>
  </si>
  <si>
    <t xml:space="preserve">GT-149</t>
  </si>
  <si>
    <t xml:space="preserve">GT-150</t>
  </si>
  <si>
    <t xml:space="preserve">GT-151</t>
  </si>
  <si>
    <t xml:space="preserve">GT-152</t>
  </si>
  <si>
    <t xml:space="preserve">bedrock_agent_hijacking/s3.tf</t>
  </si>
  <si>
    <t xml:space="preserve">aws_s3_bucket.target_s3_bucket</t>
  </si>
  <si>
    <t xml:space="preserve">GT-153</t>
  </si>
  <si>
    <t xml:space="preserve">GT-154</t>
  </si>
  <si>
    <t xml:space="preserve">GT-155</t>
  </si>
  <si>
    <t xml:space="preserve">GT-156</t>
  </si>
  <si>
    <t xml:space="preserve">GT-157</t>
  </si>
  <si>
    <t xml:space="preserve">GT-158</t>
  </si>
  <si>
    <t xml:space="preserve">GT-159</t>
  </si>
  <si>
    <t xml:space="preserve">cloud_breach_s3/ec2.tf</t>
  </si>
  <si>
    <t xml:space="preserve">aws_instance.ec2-vulnerable-proxy-server</t>
  </si>
  <si>
    <t xml:space="preserve">GT-160</t>
  </si>
  <si>
    <t xml:space="preserve">GT-161</t>
  </si>
  <si>
    <t xml:space="preserve">GT-162</t>
  </si>
  <si>
    <t xml:space="preserve">GT-163</t>
  </si>
  <si>
    <t xml:space="preserve">cloud_breach_s3/s3.tf</t>
  </si>
  <si>
    <t xml:space="preserve">aws_s3_bucket.cg-cardholder-data-bucket</t>
  </si>
  <si>
    <t xml:space="preserve">GT-164</t>
  </si>
  <si>
    <t xml:space="preserve">GT-165</t>
  </si>
  <si>
    <t xml:space="preserve">GT-166</t>
  </si>
  <si>
    <t xml:space="preserve">GT-167</t>
  </si>
  <si>
    <t xml:space="preserve">GT-168</t>
  </si>
  <si>
    <t xml:space="preserve">GT-169</t>
  </si>
  <si>
    <t xml:space="preserve">GT-170</t>
  </si>
  <si>
    <t xml:space="preserve">aws_security_group.cg-ec2-http-security-group</t>
  </si>
  <si>
    <t xml:space="preserve">GT-171</t>
  </si>
  <si>
    <t xml:space="preserve">GT-172</t>
  </si>
  <si>
    <t xml:space="preserve">GT-173</t>
  </si>
  <si>
    <t xml:space="preserve">aws_security_group.cg-ec2-ssh-security-group</t>
  </si>
  <si>
    <t xml:space="preserve">GT-174</t>
  </si>
  <si>
    <t xml:space="preserve">GT-175</t>
  </si>
  <si>
    <t xml:space="preserve">GT-176</t>
  </si>
  <si>
    <t xml:space="preserve">cloud_breach_s3/vpc.tf</t>
  </si>
  <si>
    <t xml:space="preserve">aws_vpc.cg-vpc</t>
  </si>
  <si>
    <t xml:space="preserve">GT-177</t>
  </si>
  <si>
    <t xml:space="preserve">GT-178</t>
  </si>
  <si>
    <t xml:space="preserve">codebuild_secrets/codebuild.tf</t>
  </si>
  <si>
    <t xml:space="preserve">aws_codebuild_project.cg-codebuild-project</t>
  </si>
  <si>
    <t xml:space="preserve">GT-179</t>
  </si>
  <si>
    <t xml:space="preserve">codebuild_secrets/rds.tf</t>
  </si>
  <si>
    <t xml:space="preserve">aws_db_instance.cg-psql-rds</t>
  </si>
  <si>
    <t xml:space="preserve">GT-180</t>
  </si>
  <si>
    <t xml:space="preserve">GT-181</t>
  </si>
  <si>
    <t xml:space="preserve">GT-182</t>
  </si>
  <si>
    <t xml:space="preserve">GT-183</t>
  </si>
  <si>
    <t xml:space="preserve">GT-184</t>
  </si>
  <si>
    <t xml:space="preserve">GT-185</t>
  </si>
  <si>
    <t xml:space="preserve">GT-186</t>
  </si>
  <si>
    <t xml:space="preserve">GT-187</t>
  </si>
  <si>
    <t xml:space="preserve">GT-188</t>
  </si>
  <si>
    <t xml:space="preserve">GT-189</t>
  </si>
  <si>
    <t xml:space="preserve">codebuild_secrets/iam.tf</t>
  </si>
  <si>
    <t xml:space="preserve">aws_iam_policy.cg-calrissian-policy</t>
  </si>
  <si>
    <t xml:space="preserve">GT-190</t>
  </si>
  <si>
    <t xml:space="preserve">GT-191</t>
  </si>
  <si>
    <t xml:space="preserve">GT-192</t>
  </si>
  <si>
    <t xml:space="preserve">codebuild_secrets/ec2.tf</t>
  </si>
  <si>
    <t xml:space="preserve">aws_iam_policy.cg-ec2-role-policy</t>
  </si>
  <si>
    <t xml:space="preserve">GT-193</t>
  </si>
  <si>
    <t xml:space="preserve">aws_iam_policy.cg-solo-policy</t>
  </si>
  <si>
    <t xml:space="preserve">GT-194</t>
  </si>
  <si>
    <t xml:space="preserve">GT-195</t>
  </si>
  <si>
    <t xml:space="preserve">aws_iam_role_policy.cg-codebuild-role-policy</t>
  </si>
  <si>
    <t xml:space="preserve">GT-196</t>
  </si>
  <si>
    <t xml:space="preserve">GT-197</t>
  </si>
  <si>
    <t xml:space="preserve">aws_iam_user.cg-calrissian</t>
  </si>
  <si>
    <t xml:space="preserve">GT-198</t>
  </si>
  <si>
    <t xml:space="preserve">aws_iam_user.cg-solo</t>
  </si>
  <si>
    <t xml:space="preserve">GT-199</t>
  </si>
  <si>
    <t xml:space="preserve">aws_iam_user_policy_attachment.cg-calrissian-attachment</t>
  </si>
  <si>
    <t xml:space="preserve">GT-200</t>
  </si>
  <si>
    <t xml:space="preserve">aws_iam_user_policy_attachment.cg-solo-attachment</t>
  </si>
  <si>
    <t xml:space="preserve">GT-201</t>
  </si>
  <si>
    <t xml:space="preserve">aws_instance.cg-ubuntu-ec2</t>
  </si>
  <si>
    <t xml:space="preserve">GT-202</t>
  </si>
  <si>
    <t xml:space="preserve">GT-203</t>
  </si>
  <si>
    <t xml:space="preserve">GT-204</t>
  </si>
  <si>
    <t xml:space="preserve">GT-205</t>
  </si>
  <si>
    <t xml:space="preserve">codebuild_secrets/lambda.tf</t>
  </si>
  <si>
    <t xml:space="preserve">aws_lambda_function.cg-lambda-function</t>
  </si>
  <si>
    <t xml:space="preserve">GT-206</t>
  </si>
  <si>
    <t xml:space="preserve">GT-207</t>
  </si>
  <si>
    <t xml:space="preserve">GT-208</t>
  </si>
  <si>
    <t xml:space="preserve">GT-209</t>
  </si>
  <si>
    <t xml:space="preserve">GT-210</t>
  </si>
  <si>
    <t xml:space="preserve">GT-211</t>
  </si>
  <si>
    <t xml:space="preserve">GT-212</t>
  </si>
  <si>
    <t xml:space="preserve">GT-213</t>
  </si>
  <si>
    <t xml:space="preserve">GT-214</t>
  </si>
  <si>
    <t xml:space="preserve">aws_security_group.cg-rds-security-group</t>
  </si>
  <si>
    <t xml:space="preserve">GT-215</t>
  </si>
  <si>
    <t xml:space="preserve">GT-216</t>
  </si>
  <si>
    <t xml:space="preserve">codebuild_secrets/ssm-parameters.tf</t>
  </si>
  <si>
    <t xml:space="preserve">aws_ssm_parameter.cg-ec2-private-key</t>
  </si>
  <si>
    <t xml:space="preserve">GT-217</t>
  </si>
  <si>
    <t xml:space="preserve">aws_ssm_parameter.cg-ec2-public-key</t>
  </si>
  <si>
    <t xml:space="preserve">GT-218</t>
  </si>
  <si>
    <t xml:space="preserve">codebuild_secrets/vpc.tf</t>
  </si>
  <si>
    <t xml:space="preserve">GT-219</t>
  </si>
  <si>
    <t xml:space="preserve">GT-220</t>
  </si>
  <si>
    <t xml:space="preserve">data_secrets/iam.tf</t>
  </si>
  <si>
    <t xml:space="preserve">aws_iam_role_policy.ec2_role_policy</t>
  </si>
  <si>
    <t xml:space="preserve">GT-221</t>
  </si>
  <si>
    <t xml:space="preserve">aws_iam_user.lambda_user</t>
  </si>
  <si>
    <t xml:space="preserve">GT-222</t>
  </si>
  <si>
    <t xml:space="preserve">aws_iam_user.start_user</t>
  </si>
  <si>
    <t xml:space="preserve">GT-223</t>
  </si>
  <si>
    <t xml:space="preserve">aws_iam_user_policy.lambda_user_policy</t>
  </si>
  <si>
    <t xml:space="preserve">GT-224</t>
  </si>
  <si>
    <t xml:space="preserve">GT-225</t>
  </si>
  <si>
    <t xml:space="preserve">aws_iam_user_policy.start_user_policy</t>
  </si>
  <si>
    <t xml:space="preserve">GT-226</t>
  </si>
  <si>
    <t xml:space="preserve">data_secrets/ec2.tf</t>
  </si>
  <si>
    <t xml:space="preserve">aws_instance.ec2_instance</t>
  </si>
  <si>
    <t xml:space="preserve">GT-227</t>
  </si>
  <si>
    <t xml:space="preserve">GT-228</t>
  </si>
  <si>
    <t xml:space="preserve">GT-229</t>
  </si>
  <si>
    <t xml:space="preserve">GT-230</t>
  </si>
  <si>
    <t xml:space="preserve">GT-231</t>
  </si>
  <si>
    <t xml:space="preserve">data_secrets/lambda.tf</t>
  </si>
  <si>
    <t xml:space="preserve">aws_lambda_function.sensitive_lambda</t>
  </si>
  <si>
    <t xml:space="preserve">GT-232</t>
  </si>
  <si>
    <t xml:space="preserve">GT-233</t>
  </si>
  <si>
    <t xml:space="preserve">GT-234</t>
  </si>
  <si>
    <t xml:space="preserve">GT-235</t>
  </si>
  <si>
    <t xml:space="preserve">GT-236</t>
  </si>
  <si>
    <t xml:space="preserve">GT-237</t>
  </si>
  <si>
    <t xml:space="preserve">GT-238</t>
  </si>
  <si>
    <t xml:space="preserve">data_secrets/secrets.tf</t>
  </si>
  <si>
    <t xml:space="preserve">GT-239</t>
  </si>
  <si>
    <t xml:space="preserve">GT-240</t>
  </si>
  <si>
    <t xml:space="preserve">aws_security_group.sg</t>
  </si>
  <si>
    <t xml:space="preserve">GT-241</t>
  </si>
  <si>
    <t xml:space="preserve">GT-242</t>
  </si>
  <si>
    <t xml:space="preserve">GT-243</t>
  </si>
  <si>
    <t xml:space="preserve">data_secrets/vpc.tf</t>
  </si>
  <si>
    <t xml:space="preserve">GT-244</t>
  </si>
  <si>
    <t xml:space="preserve">GT-245</t>
  </si>
  <si>
    <t xml:space="preserve">GT-246</t>
  </si>
  <si>
    <t xml:space="preserve">detection_evasion/cloudtrail.tf</t>
  </si>
  <si>
    <t xml:space="preserve">aws_cloudtrail.cloudgoat_trail</t>
  </si>
  <si>
    <t xml:space="preserve">GT-247</t>
  </si>
  <si>
    <t xml:space="preserve">GT-248</t>
  </si>
  <si>
    <t xml:space="preserve">GT-249</t>
  </si>
  <si>
    <t xml:space="preserve">detection_evasion/cloudwatch.tf</t>
  </si>
  <si>
    <t xml:space="preserve">aws_cloudwatch_log_group.main</t>
  </si>
  <si>
    <t xml:space="preserve">GT-250</t>
  </si>
  <si>
    <t xml:space="preserve">GT-251</t>
  </si>
  <si>
    <t xml:space="preserve">GT-252</t>
  </si>
  <si>
    <t xml:space="preserve">detection_evasion/iam.tf</t>
  </si>
  <si>
    <t xml:space="preserve">aws_iam_role_policy.instance_profile_easy_path</t>
  </si>
  <si>
    <t xml:space="preserve">GT-253</t>
  </si>
  <si>
    <t xml:space="preserve">aws_iam_role_policy.instance_profile_hard_path</t>
  </si>
  <si>
    <t xml:space="preserve">GT-254</t>
  </si>
  <si>
    <t xml:space="preserve">detection_evasion/exploit.tf</t>
  </si>
  <si>
    <t xml:space="preserve">aws_iam_role_policy_attachment.admin</t>
  </si>
  <si>
    <t xml:space="preserve">GT-255</t>
  </si>
  <si>
    <t xml:space="preserve">aws_iam_user.canarytoken_user</t>
  </si>
  <si>
    <t xml:space="preserve">GT-256</t>
  </si>
  <si>
    <t xml:space="preserve">aws_iam_user.r_waterhouse</t>
  </si>
  <si>
    <t xml:space="preserve">GT-257</t>
  </si>
  <si>
    <t xml:space="preserve">aws_iam_user.spacecrab_user</t>
  </si>
  <si>
    <t xml:space="preserve">GT-258</t>
  </si>
  <si>
    <t xml:space="preserve">aws_iam_user.spacesiren_user</t>
  </si>
  <si>
    <t xml:space="preserve">GT-259</t>
  </si>
  <si>
    <t xml:space="preserve">detection_evasion/ec2.tf</t>
  </si>
  <si>
    <t xml:space="preserve">aws_instance.easy_path</t>
  </si>
  <si>
    <t xml:space="preserve">GT-260</t>
  </si>
  <si>
    <t xml:space="preserve">GT-261</t>
  </si>
  <si>
    <t xml:space="preserve">GT-262</t>
  </si>
  <si>
    <t xml:space="preserve">GT-263</t>
  </si>
  <si>
    <t xml:space="preserve">GT-264</t>
  </si>
  <si>
    <t xml:space="preserve">aws_instance.hard_path</t>
  </si>
  <si>
    <t xml:space="preserve">GT-265</t>
  </si>
  <si>
    <t xml:space="preserve">GT-266</t>
  </si>
  <si>
    <t xml:space="preserve">GT-267</t>
  </si>
  <si>
    <t xml:space="preserve">GT-268</t>
  </si>
  <si>
    <t xml:space="preserve">aws_instance.web</t>
  </si>
  <si>
    <t xml:space="preserve">GT-269</t>
  </si>
  <si>
    <t xml:space="preserve">GT-270</t>
  </si>
  <si>
    <t xml:space="preserve">GT-271</t>
  </si>
  <si>
    <t xml:space="preserve">GT-272</t>
  </si>
  <si>
    <t xml:space="preserve">GT-273</t>
  </si>
  <si>
    <t xml:space="preserve">aws_s3_bucket.cloudtrail_logs</t>
  </si>
  <si>
    <t xml:space="preserve">GT-274</t>
  </si>
  <si>
    <t xml:space="preserve">GT-275</t>
  </si>
  <si>
    <t xml:space="preserve">GT-276</t>
  </si>
  <si>
    <t xml:space="preserve">GT-277</t>
  </si>
  <si>
    <t xml:space="preserve">GT-278</t>
  </si>
  <si>
    <t xml:space="preserve">GT-279</t>
  </si>
  <si>
    <t xml:space="preserve">GT-280</t>
  </si>
  <si>
    <t xml:space="preserve">detection_evasion/secrets_manager.tf</t>
  </si>
  <si>
    <t xml:space="preserve">aws_secretsmanager_secret.easy_secret</t>
  </si>
  <si>
    <t xml:space="preserve">GT-281</t>
  </si>
  <si>
    <t xml:space="preserve">GT-282</t>
  </si>
  <si>
    <t xml:space="preserve">aws_secretsmanager_secret.hard_secret</t>
  </si>
  <si>
    <t xml:space="preserve">GT-283</t>
  </si>
  <si>
    <t xml:space="preserve">GT-284</t>
  </si>
  <si>
    <t xml:space="preserve">aws_security_group.main</t>
  </si>
  <si>
    <t xml:space="preserve">GT-285</t>
  </si>
  <si>
    <t xml:space="preserve">aws_security_group.main2</t>
  </si>
  <si>
    <t xml:space="preserve">GT-286</t>
  </si>
  <si>
    <t xml:space="preserve">aws_security_group.vpc_exploit</t>
  </si>
  <si>
    <t xml:space="preserve">GT-287</t>
  </si>
  <si>
    <t xml:space="preserve">detection_evasion/sns.tf</t>
  </si>
  <si>
    <t xml:space="preserve">aws_sns_topic.honeytoken_detected</t>
  </si>
  <si>
    <t xml:space="preserve">GT-288</t>
  </si>
  <si>
    <t xml:space="preserve">aws_sns_topic.instance_profile_abnormally_used</t>
  </si>
  <si>
    <t xml:space="preserve">GT-289</t>
  </si>
  <si>
    <t xml:space="preserve">aws_vpc.main</t>
  </si>
  <si>
    <t xml:space="preserve">GT-290</t>
  </si>
  <si>
    <t xml:space="preserve">detection_evasion/vpc.tf</t>
  </si>
  <si>
    <t xml:space="preserve">GT-291</t>
  </si>
  <si>
    <t xml:space="preserve">GT-292</t>
  </si>
  <si>
    <t xml:space="preserve">GT-293</t>
  </si>
  <si>
    <t xml:space="preserve">ec2_ssrf/ec2.tf</t>
  </si>
  <si>
    <t xml:space="preserve">aws_iam_policy.ec2_policy</t>
  </si>
  <si>
    <t xml:space="preserve">GT-294</t>
  </si>
  <si>
    <t xml:space="preserve">GT-295</t>
  </si>
  <si>
    <t xml:space="preserve">GT-296</t>
  </si>
  <si>
    <t xml:space="preserve">GT-297</t>
  </si>
  <si>
    <t xml:space="preserve">ec2_ssrf/iam.tf</t>
  </si>
  <si>
    <t xml:space="preserve">aws_iam_policy.shepard</t>
  </si>
  <si>
    <t xml:space="preserve">GT-298</t>
  </si>
  <si>
    <t xml:space="preserve">GT-299</t>
  </si>
  <si>
    <t xml:space="preserve">aws_iam_policy.solus</t>
  </si>
  <si>
    <t xml:space="preserve">GT-300</t>
  </si>
  <si>
    <t xml:space="preserve">aws_iam_policy.wrex</t>
  </si>
  <si>
    <t xml:space="preserve">GT-301</t>
  </si>
  <si>
    <t xml:space="preserve">GT-302</t>
  </si>
  <si>
    <t xml:space="preserve">GT-303</t>
  </si>
  <si>
    <t xml:space="preserve">GT-304</t>
  </si>
  <si>
    <t xml:space="preserve">aws_iam_user.shepard</t>
  </si>
  <si>
    <t xml:space="preserve">GT-305</t>
  </si>
  <si>
    <t xml:space="preserve">aws_iam_user.solus</t>
  </si>
  <si>
    <t xml:space="preserve">GT-306</t>
  </si>
  <si>
    <t xml:space="preserve">aws_iam_user.wrex</t>
  </si>
  <si>
    <t xml:space="preserve">GT-307</t>
  </si>
  <si>
    <t xml:space="preserve">aws_instance.ubuntu_ec2</t>
  </si>
  <si>
    <t xml:space="preserve">GT-308</t>
  </si>
  <si>
    <t xml:space="preserve">GT-309</t>
  </si>
  <si>
    <t xml:space="preserve">GT-310</t>
  </si>
  <si>
    <t xml:space="preserve">GT-311</t>
  </si>
  <si>
    <t xml:space="preserve">ec2_ssrf/lambda.tf</t>
  </si>
  <si>
    <t xml:space="preserve">aws_lambda_function.lambda_function</t>
  </si>
  <si>
    <t xml:space="preserve">GT-312</t>
  </si>
  <si>
    <t xml:space="preserve">GT-313</t>
  </si>
  <si>
    <t xml:space="preserve">GT-314</t>
  </si>
  <si>
    <t xml:space="preserve">GT-315</t>
  </si>
  <si>
    <t xml:space="preserve">GT-316</t>
  </si>
  <si>
    <t xml:space="preserve">GT-317</t>
  </si>
  <si>
    <t xml:space="preserve">ec2_ssrf/s3.tf</t>
  </si>
  <si>
    <t xml:space="preserve">aws_s3_bucket.secret_bucket</t>
  </si>
  <si>
    <t xml:space="preserve">GT-318</t>
  </si>
  <si>
    <t xml:space="preserve">GT-319</t>
  </si>
  <si>
    <t xml:space="preserve">GT-320</t>
  </si>
  <si>
    <t xml:space="preserve">GT-321</t>
  </si>
  <si>
    <t xml:space="preserve">GT-322</t>
  </si>
  <si>
    <t xml:space="preserve">GT-323</t>
  </si>
  <si>
    <t xml:space="preserve">GT-324</t>
  </si>
  <si>
    <t xml:space="preserve">aws_security_group.ec2_security_group</t>
  </si>
  <si>
    <t xml:space="preserve">GT-325</t>
  </si>
  <si>
    <t xml:space="preserve">GT-326</t>
  </si>
  <si>
    <t xml:space="preserve">GT-327</t>
  </si>
  <si>
    <t xml:space="preserve">GT-328</t>
  </si>
  <si>
    <t xml:space="preserve">ec2_ssrf/vpc.tf</t>
  </si>
  <si>
    <t xml:space="preserve">GT-329</t>
  </si>
  <si>
    <t xml:space="preserve">GT-330</t>
  </si>
  <si>
    <t xml:space="preserve">ecs_efs_attack/ecs.tf</t>
  </si>
  <si>
    <t xml:space="preserve">aws_ecs_cluster.cg-cluster</t>
  </si>
  <si>
    <t xml:space="preserve">GT-331</t>
  </si>
  <si>
    <t xml:space="preserve">aws_ecs_service.cg-webapp</t>
  </si>
  <si>
    <t xml:space="preserve">GT-332</t>
  </si>
  <si>
    <t xml:space="preserve">aws_ecs_task_definition.cg-webapp</t>
  </si>
  <si>
    <t xml:space="preserve">GT-333</t>
  </si>
  <si>
    <t xml:space="preserve">GT-334</t>
  </si>
  <si>
    <t xml:space="preserve">ecs_efs_attack/efs.tf</t>
  </si>
  <si>
    <t xml:space="preserve">aws_efs_file_system.admin-backup</t>
  </si>
  <si>
    <t xml:space="preserve">GT-335</t>
  </si>
  <si>
    <t xml:space="preserve">GT-336</t>
  </si>
  <si>
    <t xml:space="preserve">ecs_efs_attack/iam.tf</t>
  </si>
  <si>
    <t xml:space="preserve">aws_iam_policy.cg-ec2-ruse-role-policy</t>
  </si>
  <si>
    <t xml:space="preserve">GT-337</t>
  </si>
  <si>
    <t xml:space="preserve">GT-338</t>
  </si>
  <si>
    <t xml:space="preserve">GT-339</t>
  </si>
  <si>
    <t xml:space="preserve">aws_iam_policy.cg-ecs-role-policy</t>
  </si>
  <si>
    <t xml:space="preserve">GT-340</t>
  </si>
  <si>
    <t xml:space="preserve">GT-341</t>
  </si>
  <si>
    <t xml:space="preserve">aws_iam_policy.cg-efs-admin-role-policy</t>
  </si>
  <si>
    <t xml:space="preserve">GT-342</t>
  </si>
  <si>
    <t xml:space="preserve">ecs_efs_attack/ec2.tf</t>
  </si>
  <si>
    <t xml:space="preserve">aws_instance.cg-dev-ec2</t>
  </si>
  <si>
    <t xml:space="preserve">GT-343</t>
  </si>
  <si>
    <t xml:space="preserve">GT-344</t>
  </si>
  <si>
    <t xml:space="preserve">GT-345</t>
  </si>
  <si>
    <t xml:space="preserve">GT-346</t>
  </si>
  <si>
    <t xml:space="preserve">aws_instance.cg-ruse-ec2</t>
  </si>
  <si>
    <t xml:space="preserve">GT-347</t>
  </si>
  <si>
    <t xml:space="preserve">GT-348</t>
  </si>
  <si>
    <t xml:space="preserve">GT-349</t>
  </si>
  <si>
    <t xml:space="preserve">GT-350</t>
  </si>
  <si>
    <t xml:space="preserve">ecs_efs_attack/lambda.tf</t>
  </si>
  <si>
    <t xml:space="preserve">aws_lambda_function.efs_upload</t>
  </si>
  <si>
    <t xml:space="preserve">GT-351</t>
  </si>
  <si>
    <t xml:space="preserve">GT-352</t>
  </si>
  <si>
    <t xml:space="preserve">GT-353</t>
  </si>
  <si>
    <t xml:space="preserve">GT-354</t>
  </si>
  <si>
    <t xml:space="preserve">aws_security_group.cg-ec2-efs-security-group</t>
  </si>
  <si>
    <t xml:space="preserve">GT-355</t>
  </si>
  <si>
    <t xml:space="preserve">GT-356</t>
  </si>
  <si>
    <t xml:space="preserve">aws_security_group.cg-ec2-http-listener-security-group</t>
  </si>
  <si>
    <t xml:space="preserve">GT-357</t>
  </si>
  <si>
    <t xml:space="preserve">GT-358</t>
  </si>
  <si>
    <t xml:space="preserve">GT-359</t>
  </si>
  <si>
    <t xml:space="preserve">GT-360</t>
  </si>
  <si>
    <t xml:space="preserve">GT-361</t>
  </si>
  <si>
    <t xml:space="preserve">aws_security_group.cg-ecs-http-security-group</t>
  </si>
  <si>
    <t xml:space="preserve">GT-362</t>
  </si>
  <si>
    <t xml:space="preserve">GT-363</t>
  </si>
  <si>
    <t xml:space="preserve">GT-364</t>
  </si>
  <si>
    <t xml:space="preserve">ecs_efs_attack/vpc.tf</t>
  </si>
  <si>
    <t xml:space="preserve">GT-365</t>
  </si>
  <si>
    <t xml:space="preserve">GT-366</t>
  </si>
  <si>
    <t xml:space="preserve">ecs_privesc_evade_protection/cloudtrail.tf</t>
  </si>
  <si>
    <t xml:space="preserve">aws_cloudtrail.cloudtrail</t>
  </si>
  <si>
    <t xml:space="preserve">GT-367</t>
  </si>
  <si>
    <t xml:space="preserve">GT-368</t>
  </si>
  <si>
    <t xml:space="preserve">GT-369</t>
  </si>
  <si>
    <t xml:space="preserve">GT-370</t>
  </si>
  <si>
    <t xml:space="preserve">GT-371</t>
  </si>
  <si>
    <t xml:space="preserve">ecs_privesc_evade_protection/cloudwatch.tf</t>
  </si>
  <si>
    <t xml:space="preserve">aws_cloudwatch_log_group.lambda_log</t>
  </si>
  <si>
    <t xml:space="preserve">GT-372</t>
  </si>
  <si>
    <t xml:space="preserve">GT-373</t>
  </si>
  <si>
    <t xml:space="preserve">GT-374</t>
  </si>
  <si>
    <t xml:space="preserve">ecs_privesc_evade_protection/ecr.tf</t>
  </si>
  <si>
    <t xml:space="preserve">aws_ecr_repository.repository</t>
  </si>
  <si>
    <t xml:space="preserve">GT-375</t>
  </si>
  <si>
    <t xml:space="preserve">GT-376</t>
  </si>
  <si>
    <t xml:space="preserve">GT-377</t>
  </si>
  <si>
    <t xml:space="preserve">ecs_privesc_evade_protection/ecs.tf</t>
  </si>
  <si>
    <t xml:space="preserve">aws_ecs_cluster.cluster</t>
  </si>
  <si>
    <t xml:space="preserve">GT-378</t>
  </si>
  <si>
    <t xml:space="preserve">aws_guardduty_detector.detector</t>
  </si>
  <si>
    <t xml:space="preserve">GT-379</t>
  </si>
  <si>
    <t xml:space="preserve">ecs_privesc_evade_protection/lambda.tf</t>
  </si>
  <si>
    <t xml:space="preserve">aws_lambda_function.guardduty_lambda</t>
  </si>
  <si>
    <t xml:space="preserve">GT-380</t>
  </si>
  <si>
    <t xml:space="preserve">GT-381</t>
  </si>
  <si>
    <t xml:space="preserve">GT-382</t>
  </si>
  <si>
    <t xml:space="preserve">GT-383</t>
  </si>
  <si>
    <t xml:space="preserve">GT-384</t>
  </si>
  <si>
    <t xml:space="preserve">GT-385</t>
  </si>
  <si>
    <t xml:space="preserve">aws_launch_template.template</t>
  </si>
  <si>
    <t xml:space="preserve">GT-386</t>
  </si>
  <si>
    <t xml:space="preserve">GT-387</t>
  </si>
  <si>
    <t xml:space="preserve">ecs_privesc_evade_protection/s3.tf</t>
  </si>
  <si>
    <t xml:space="preserve">aws_s3_bucket.cloudtrail_bucket</t>
  </si>
  <si>
    <t xml:space="preserve">GT-388</t>
  </si>
  <si>
    <t xml:space="preserve">GT-389</t>
  </si>
  <si>
    <t xml:space="preserve">GT-390</t>
  </si>
  <si>
    <t xml:space="preserve">GT-391</t>
  </si>
  <si>
    <t xml:space="preserve">GT-392</t>
  </si>
  <si>
    <t xml:space="preserve">GT-393</t>
  </si>
  <si>
    <t xml:space="preserve">aws_s3_bucket.secret-s3-bucket</t>
  </si>
  <si>
    <t xml:space="preserve">GT-394</t>
  </si>
  <si>
    <t xml:space="preserve">GT-395</t>
  </si>
  <si>
    <t xml:space="preserve">GT-396</t>
  </si>
  <si>
    <t xml:space="preserve">GT-397</t>
  </si>
  <si>
    <t xml:space="preserve">GT-398</t>
  </si>
  <si>
    <t xml:space="preserve">GT-399</t>
  </si>
  <si>
    <t xml:space="preserve">GT-400</t>
  </si>
  <si>
    <t xml:space="preserve">ecs_privesc_evade_protection/vpc.tf</t>
  </si>
  <si>
    <t xml:space="preserve">aws_security_group.allow_http</t>
  </si>
  <si>
    <t xml:space="preserve">GT-401</t>
  </si>
  <si>
    <t xml:space="preserve">GT-402</t>
  </si>
  <si>
    <t xml:space="preserve">GT-403</t>
  </si>
  <si>
    <t xml:space="preserve">GT-404</t>
  </si>
  <si>
    <t xml:space="preserve">ecs_takeover/ecs.tf</t>
  </si>
  <si>
    <t xml:space="preserve">aws_ecs_cluster.ecs_cluster</t>
  </si>
  <si>
    <t xml:space="preserve">GT-405</t>
  </si>
  <si>
    <t xml:space="preserve">aws_ecs_task_definition.privd</t>
  </si>
  <si>
    <t xml:space="preserve">GT-406</t>
  </si>
  <si>
    <t xml:space="preserve">aws_ecs_task_definition.vulnsite</t>
  </si>
  <si>
    <t xml:space="preserve">GT-407</t>
  </si>
  <si>
    <t xml:space="preserve">ecs_takeover/iam.tf</t>
  </si>
  <si>
    <t xml:space="preserve">aws_iam_policy.privd</t>
  </si>
  <si>
    <t xml:space="preserve">GT-408</t>
  </si>
  <si>
    <t xml:space="preserve">ecs_takeover/ec2.tf</t>
  </si>
  <si>
    <t xml:space="preserve">aws_instance.vault</t>
  </si>
  <si>
    <t xml:space="preserve">GT-409</t>
  </si>
  <si>
    <t xml:space="preserve">GT-410</t>
  </si>
  <si>
    <t xml:space="preserve">GT-411</t>
  </si>
  <si>
    <t xml:space="preserve">GT-412</t>
  </si>
  <si>
    <t xml:space="preserve">GT-413</t>
  </si>
  <si>
    <t xml:space="preserve">aws_instance.vulnsite</t>
  </si>
  <si>
    <t xml:space="preserve">GT-414</t>
  </si>
  <si>
    <t xml:space="preserve">GT-415</t>
  </si>
  <si>
    <t xml:space="preserve">GT-416</t>
  </si>
  <si>
    <t xml:space="preserve">GT-417</t>
  </si>
  <si>
    <t xml:space="preserve">GT-418</t>
  </si>
  <si>
    <t xml:space="preserve">ecs_takeover/vpc.tf</t>
  </si>
  <si>
    <t xml:space="preserve">aws_security_group.ecs_sg</t>
  </si>
  <si>
    <t xml:space="preserve">GT-419</t>
  </si>
  <si>
    <t xml:space="preserve">GT-420</t>
  </si>
  <si>
    <t xml:space="preserve">GT-421</t>
  </si>
  <si>
    <t xml:space="preserve">federated_console_takeover/iam.tf</t>
  </si>
  <si>
    <t xml:space="preserve">aws_iam_role_policy.ec2_admin_policy</t>
  </si>
  <si>
    <t xml:space="preserve">GT-422</t>
  </si>
  <si>
    <t xml:space="preserve">GT-423</t>
  </si>
  <si>
    <t xml:space="preserve">GT-424</t>
  </si>
  <si>
    <t xml:space="preserve">GT-425</t>
  </si>
  <si>
    <t xml:space="preserve">GT-426</t>
  </si>
  <si>
    <t xml:space="preserve">aws_iam_user.initial_user</t>
  </si>
  <si>
    <t xml:space="preserve">GT-427</t>
  </si>
  <si>
    <t xml:space="preserve">aws_iam_user_policy.initial_user_policy</t>
  </si>
  <si>
    <t xml:space="preserve">GT-428</t>
  </si>
  <si>
    <t xml:space="preserve">GT-429</t>
  </si>
  <si>
    <t xml:space="preserve">federated_console_takeover/ec2.tf</t>
  </si>
  <si>
    <t xml:space="preserve">aws_instance.vulnerable_ec2</t>
  </si>
  <si>
    <t xml:space="preserve">GT-430</t>
  </si>
  <si>
    <t xml:space="preserve">GT-431</t>
  </si>
  <si>
    <t xml:space="preserve">GT-432</t>
  </si>
  <si>
    <t xml:space="preserve">GT-433</t>
  </si>
  <si>
    <t xml:space="preserve">aws_security_group.instance_sg</t>
  </si>
  <si>
    <t xml:space="preserve">GT-434</t>
  </si>
  <si>
    <t xml:space="preserve">GT-435</t>
  </si>
  <si>
    <t xml:space="preserve">federated_console_takeover/vpc.tf</t>
  </si>
  <si>
    <t xml:space="preserve">aws_security_group.vpc_endpoint_sg</t>
  </si>
  <si>
    <t xml:space="preserve">GT-436</t>
  </si>
  <si>
    <t xml:space="preserve">GT-437</t>
  </si>
  <si>
    <t xml:space="preserve">federated_console_takeover/ssm.tf</t>
  </si>
  <si>
    <t xml:space="preserve">aws_ssm_document.session_manager_preferences</t>
  </si>
  <si>
    <t xml:space="preserve">GT-438</t>
  </si>
  <si>
    <t xml:space="preserve">GT-439</t>
  </si>
  <si>
    <t xml:space="preserve">GT-440</t>
  </si>
  <si>
    <t xml:space="preserve">GT-441</t>
  </si>
  <si>
    <t xml:space="preserve">GT-442</t>
  </si>
  <si>
    <t xml:space="preserve">glue_privesc/rds.tf</t>
  </si>
  <si>
    <t xml:space="preserve">aws_db_instance.rds</t>
  </si>
  <si>
    <t xml:space="preserve">GT-443</t>
  </si>
  <si>
    <t xml:space="preserve">GT-444</t>
  </si>
  <si>
    <t xml:space="preserve">GT-445</t>
  </si>
  <si>
    <t xml:space="preserve">GT-446</t>
  </si>
  <si>
    <t xml:space="preserve">GT-447</t>
  </si>
  <si>
    <t xml:space="preserve">GT-448</t>
  </si>
  <si>
    <t xml:space="preserve">GT-449</t>
  </si>
  <si>
    <t xml:space="preserve">GT-450</t>
  </si>
  <si>
    <t xml:space="preserve">GT-451</t>
  </si>
  <si>
    <t xml:space="preserve">glue_privesc/glue.tf</t>
  </si>
  <si>
    <t xml:space="preserve">aws_glue_data_catalog_encryption_settings.example</t>
  </si>
  <si>
    <t xml:space="preserve">GT-452</t>
  </si>
  <si>
    <t xml:space="preserve">aws_glue_job.glue_job</t>
  </si>
  <si>
    <t xml:space="preserve">GT-453</t>
  </si>
  <si>
    <t xml:space="preserve">glue_privesc/iam.tf</t>
  </si>
  <si>
    <t xml:space="preserve">aws_iam_user.glue_admin</t>
  </si>
  <si>
    <t xml:space="preserve">GT-454</t>
  </si>
  <si>
    <t xml:space="preserve">aws_iam_user.glue_web</t>
  </si>
  <si>
    <t xml:space="preserve">GT-455</t>
  </si>
  <si>
    <t xml:space="preserve">aws_iam_user_policy.glue_management_policy</t>
  </si>
  <si>
    <t xml:space="preserve">GT-456</t>
  </si>
  <si>
    <t xml:space="preserve">GT-457</t>
  </si>
  <si>
    <t xml:space="preserve">GT-458</t>
  </si>
  <si>
    <t xml:space="preserve">glue_privesc/ec2.tf</t>
  </si>
  <si>
    <t xml:space="preserve">aws_instance.linux_ec2</t>
  </si>
  <si>
    <t xml:space="preserve">GT-459</t>
  </si>
  <si>
    <t xml:space="preserve">GT-460</t>
  </si>
  <si>
    <t xml:space="preserve">GT-461</t>
  </si>
  <si>
    <t xml:space="preserve">GT-462</t>
  </si>
  <si>
    <t xml:space="preserve">glue_privesc/lambda.tf</t>
  </si>
  <si>
    <t xml:space="preserve">aws_lambda_function.s3_to_gluecatalog</t>
  </si>
  <si>
    <t xml:space="preserve">GT-463</t>
  </si>
  <si>
    <t xml:space="preserve">GT-464</t>
  </si>
  <si>
    <t xml:space="preserve">GT-465</t>
  </si>
  <si>
    <t xml:space="preserve">GT-466</t>
  </si>
  <si>
    <t xml:space="preserve">GT-467</t>
  </si>
  <si>
    <t xml:space="preserve">GT-468</t>
  </si>
  <si>
    <t xml:space="preserve">glue_privesc/s3.tf</t>
  </si>
  <si>
    <t xml:space="preserve">GT-469</t>
  </si>
  <si>
    <t xml:space="preserve">GT-470</t>
  </si>
  <si>
    <t xml:space="preserve">GT-471</t>
  </si>
  <si>
    <t xml:space="preserve">GT-472</t>
  </si>
  <si>
    <t xml:space="preserve">GT-473</t>
  </si>
  <si>
    <t xml:space="preserve">GT-474</t>
  </si>
  <si>
    <t xml:space="preserve">GT-475</t>
  </si>
  <si>
    <t xml:space="preserve">aws_s3_bucket.web</t>
  </si>
  <si>
    <t xml:space="preserve">GT-476</t>
  </si>
  <si>
    <t xml:space="preserve">GT-477</t>
  </si>
  <si>
    <t xml:space="preserve">GT-478</t>
  </si>
  <si>
    <t xml:space="preserve">GT-479</t>
  </si>
  <si>
    <t xml:space="preserve">GT-480</t>
  </si>
  <si>
    <t xml:space="preserve">GT-481</t>
  </si>
  <si>
    <t xml:space="preserve">aws_s3_bucket_ownership_controls.data_ownership</t>
  </si>
  <si>
    <t xml:space="preserve">GT-482</t>
  </si>
  <si>
    <t xml:space="preserve">aws_s3_bucket_policy.put_object</t>
  </si>
  <si>
    <t xml:space="preserve">GT-483</t>
  </si>
  <si>
    <t xml:space="preserve">aws_s3_bucket_public_access_block.access_block</t>
  </si>
  <si>
    <t xml:space="preserve">GT-484</t>
  </si>
  <si>
    <t xml:space="preserve">glue_privesc/security_groups.tf</t>
  </si>
  <si>
    <t xml:space="preserve">aws_security_group.ec2</t>
  </si>
  <si>
    <t xml:space="preserve">GT-485</t>
  </si>
  <si>
    <t xml:space="preserve">GT-486</t>
  </si>
  <si>
    <t xml:space="preserve">GT-487</t>
  </si>
  <si>
    <t xml:space="preserve">aws_security_group.glue</t>
  </si>
  <si>
    <t xml:space="preserve">GT-488</t>
  </si>
  <si>
    <t xml:space="preserve">GT-489</t>
  </si>
  <si>
    <t xml:space="preserve">GT-490</t>
  </si>
  <si>
    <t xml:space="preserve">GT-491</t>
  </si>
  <si>
    <t xml:space="preserve">GT-492</t>
  </si>
  <si>
    <t xml:space="preserve">GT-493</t>
  </si>
  <si>
    <t xml:space="preserve">GT-494</t>
  </si>
  <si>
    <t xml:space="preserve">aws_security_group.rds</t>
  </si>
  <si>
    <t xml:space="preserve">GT-495</t>
  </si>
  <si>
    <t xml:space="preserve">GT-496</t>
  </si>
  <si>
    <t xml:space="preserve">glue_privesc/ssm_parameter.tf</t>
  </si>
  <si>
    <t xml:space="preserve">aws_ssm_parameter.flag</t>
  </si>
  <si>
    <t xml:space="preserve">GT-497</t>
  </si>
  <si>
    <t xml:space="preserve">glue_privesc/vpc.tf</t>
  </si>
  <si>
    <t xml:space="preserve">GT-498</t>
  </si>
  <si>
    <t xml:space="preserve">GT-499</t>
  </si>
  <si>
    <t xml:space="preserve">iam_enum_basics/iam.tf</t>
  </si>
  <si>
    <t xml:space="preserve">aws_iam_user.bob</t>
  </si>
  <si>
    <t xml:space="preserve">GT-500</t>
  </si>
  <si>
    <t xml:space="preserve">iam_privesc_by_attachment/iam_mighty.tf</t>
  </si>
  <si>
    <t xml:space="preserve">aws_iam_policy.ec2_mighty_policy</t>
  </si>
  <si>
    <t xml:space="preserve">GT-501</t>
  </si>
  <si>
    <t xml:space="preserve">GT-502</t>
  </si>
  <si>
    <t xml:space="preserve">GT-503</t>
  </si>
  <si>
    <t xml:space="preserve">GT-504</t>
  </si>
  <si>
    <t xml:space="preserve">GT-505</t>
  </si>
  <si>
    <t xml:space="preserve">GT-506</t>
  </si>
  <si>
    <t xml:space="preserve">GT-507</t>
  </si>
  <si>
    <t xml:space="preserve">GT-508</t>
  </si>
  <si>
    <t xml:space="preserve">GT-509</t>
  </si>
  <si>
    <t xml:space="preserve">iam_privesc_by_attachment/iam.tf</t>
  </si>
  <si>
    <t xml:space="preserve">aws_iam_policy.kerrigan_policy</t>
  </si>
  <si>
    <t xml:space="preserve">GT-510</t>
  </si>
  <si>
    <t xml:space="preserve">GT-511</t>
  </si>
  <si>
    <t xml:space="preserve">GT-512</t>
  </si>
  <si>
    <t xml:space="preserve">GT-513</t>
  </si>
  <si>
    <t xml:space="preserve">aws_iam_user.kerrigan</t>
  </si>
  <si>
    <t xml:space="preserve">GT-514</t>
  </si>
  <si>
    <t xml:space="preserve">aws_iam_user_policy_attachment.kerrigan_attachment</t>
  </si>
  <si>
    <t xml:space="preserve">GT-515</t>
  </si>
  <si>
    <t xml:space="preserve">iam_privesc_by_attachment/ec2.tf</t>
  </si>
  <si>
    <t xml:space="preserve">aws_instance.super_critical_security_server</t>
  </si>
  <si>
    <t xml:space="preserve">GT-516</t>
  </si>
  <si>
    <t xml:space="preserve">GT-517</t>
  </si>
  <si>
    <t xml:space="preserve">GT-518</t>
  </si>
  <si>
    <t xml:space="preserve">GT-519</t>
  </si>
  <si>
    <t xml:space="preserve">GT-520</t>
  </si>
  <si>
    <t xml:space="preserve">aws_security_group.ec2_server</t>
  </si>
  <si>
    <t xml:space="preserve">GT-521</t>
  </si>
  <si>
    <t xml:space="preserve">GT-522</t>
  </si>
  <si>
    <t xml:space="preserve">GT-523</t>
  </si>
  <si>
    <t xml:space="preserve">GT-524</t>
  </si>
  <si>
    <t xml:space="preserve">iam_privesc_by_attachment/vpc.tf</t>
  </si>
  <si>
    <t xml:space="preserve">aws_subnet.public</t>
  </si>
  <si>
    <t xml:space="preserve">GT-525</t>
  </si>
  <si>
    <t xml:space="preserve">GT-526</t>
  </si>
  <si>
    <t xml:space="preserve">GT-527</t>
  </si>
  <si>
    <t xml:space="preserve">iam_privesc_by_ec2/iam.tf</t>
  </si>
  <si>
    <t xml:space="preserve">aws_iam_role_policy_attachment.ec2_role_policy_attach</t>
  </si>
  <si>
    <t xml:space="preserve">GT-528</t>
  </si>
  <si>
    <t xml:space="preserve">aws_iam_user.dev_user</t>
  </si>
  <si>
    <t xml:space="preserve">GT-529</t>
  </si>
  <si>
    <t xml:space="preserve">aws_iam_user_policy.dev_ec2_permissions</t>
  </si>
  <si>
    <t xml:space="preserve">GT-530</t>
  </si>
  <si>
    <t xml:space="preserve">GT-531</t>
  </si>
  <si>
    <t xml:space="preserve">iam_privesc_by_ec2/ec2.tf</t>
  </si>
  <si>
    <t xml:space="preserve">aws_instance.admin_ec2</t>
  </si>
  <si>
    <t xml:space="preserve">GT-532</t>
  </si>
  <si>
    <t xml:space="preserve">GT-533</t>
  </si>
  <si>
    <t xml:space="preserve">GT-534</t>
  </si>
  <si>
    <t xml:space="preserve">GT-535</t>
  </si>
  <si>
    <t xml:space="preserve">iam_privesc_by_ec2/vpc.tf</t>
  </si>
  <si>
    <t xml:space="preserve">GT-536</t>
  </si>
  <si>
    <t xml:space="preserve">GT-537</t>
  </si>
  <si>
    <t xml:space="preserve">iam_privesc_by_key_rotation/iam_admin.tf</t>
  </si>
  <si>
    <t xml:space="preserve">aws_iam_user.admin</t>
  </si>
  <si>
    <t xml:space="preserve">GT-538</t>
  </si>
  <si>
    <t xml:space="preserve">iam_privesc_by_key_rotation/iam_developer.tf</t>
  </si>
  <si>
    <t xml:space="preserve">aws_iam_user.developer</t>
  </si>
  <si>
    <t xml:space="preserve">GT-539</t>
  </si>
  <si>
    <t xml:space="preserve">iam_privesc_by_key_rotation/iam_manager.tf</t>
  </si>
  <si>
    <t xml:space="preserve">aws_iam_user.manager</t>
  </si>
  <si>
    <t xml:space="preserve">GT-540</t>
  </si>
  <si>
    <t xml:space="preserve">aws_iam_user_policy.manager_tag_resources</t>
  </si>
  <si>
    <t xml:space="preserve">GT-541</t>
  </si>
  <si>
    <t xml:space="preserve">iam_privesc_by_key_rotation/secrets.tf</t>
  </si>
  <si>
    <t xml:space="preserve">aws_secretsmanager_secret.primary_secret</t>
  </si>
  <si>
    <t xml:space="preserve">GT-542</t>
  </si>
  <si>
    <t xml:space="preserve">GT-543</t>
  </si>
  <si>
    <t xml:space="preserve">iam_privesc_by_rollback/iam.tf</t>
  </si>
  <si>
    <t xml:space="preserve">aws_iam_user.raynor</t>
  </si>
  <si>
    <t xml:space="preserve">GT-544</t>
  </si>
  <si>
    <t xml:space="preserve">lambda_privesc/iam.tf</t>
  </si>
  <si>
    <t xml:space="preserve">aws_iam_policy.chris_policy</t>
  </si>
  <si>
    <t xml:space="preserve">GT-545</t>
  </si>
  <si>
    <t xml:space="preserve">GT-546</t>
  </si>
  <si>
    <t xml:space="preserve">GT-547</t>
  </si>
  <si>
    <t xml:space="preserve">aws_iam_policy.lambdaManager_policy</t>
  </si>
  <si>
    <t xml:space="preserve">GT-548</t>
  </si>
  <si>
    <t xml:space="preserve">GT-549</t>
  </si>
  <si>
    <t xml:space="preserve">GT-550</t>
  </si>
  <si>
    <t xml:space="preserve">GT-551</t>
  </si>
  <si>
    <t xml:space="preserve">aws_iam_role_policy_attachment.debug_administrator_attachment</t>
  </si>
  <si>
    <t xml:space="preserve">GT-552</t>
  </si>
  <si>
    <t xml:space="preserve">aws_iam_user.chris</t>
  </si>
  <si>
    <t xml:space="preserve">GT-553</t>
  </si>
  <si>
    <t xml:space="preserve">rce_web_app/rds.tf</t>
  </si>
  <si>
    <t xml:space="preserve">aws_db_instance.postgres</t>
  </si>
  <si>
    <t xml:space="preserve">GT-554</t>
  </si>
  <si>
    <t xml:space="preserve">GT-555</t>
  </si>
  <si>
    <t xml:space="preserve">GT-556</t>
  </si>
  <si>
    <t xml:space="preserve">GT-557</t>
  </si>
  <si>
    <t xml:space="preserve">GT-558</t>
  </si>
  <si>
    <t xml:space="preserve">GT-559</t>
  </si>
  <si>
    <t xml:space="preserve">GT-560</t>
  </si>
  <si>
    <t xml:space="preserve">GT-561</t>
  </si>
  <si>
    <t xml:space="preserve">GT-562</t>
  </si>
  <si>
    <t xml:space="preserve">GT-563</t>
  </si>
  <si>
    <t xml:space="preserve">rce_web_app/ec2.tf</t>
  </si>
  <si>
    <t xml:space="preserve">aws_iam_policy.ec2_rds</t>
  </si>
  <si>
    <t xml:space="preserve">GT-564</t>
  </si>
  <si>
    <t xml:space="preserve">rce_web_app/iam.tf</t>
  </si>
  <si>
    <t xml:space="preserve">aws_iam_user.lara</t>
  </si>
  <si>
    <t xml:space="preserve">GT-565</t>
  </si>
  <si>
    <t xml:space="preserve">aws_iam_user.mcduck</t>
  </si>
  <si>
    <t xml:space="preserve">GT-566</t>
  </si>
  <si>
    <t xml:space="preserve">aws_iam_user_policy_attachment.lara</t>
  </si>
  <si>
    <t xml:space="preserve">GT-567</t>
  </si>
  <si>
    <t xml:space="preserve">aws_iam_user_policy_attachment.mcduck</t>
  </si>
  <si>
    <t xml:space="preserve">GT-568</t>
  </si>
  <si>
    <t xml:space="preserve">aws_instance.ubuntu</t>
  </si>
  <si>
    <t xml:space="preserve">GT-569</t>
  </si>
  <si>
    <t xml:space="preserve">GT-570</t>
  </si>
  <si>
    <t xml:space="preserve">GT-571</t>
  </si>
  <si>
    <t xml:space="preserve">GT-572</t>
  </si>
  <si>
    <t xml:space="preserve">rce_web_app/lb.tf</t>
  </si>
  <si>
    <t xml:space="preserve">aws_lb.this</t>
  </si>
  <si>
    <t xml:space="preserve">GT-573</t>
  </si>
  <si>
    <t xml:space="preserve">GT-574</t>
  </si>
  <si>
    <t xml:space="preserve">GT-575</t>
  </si>
  <si>
    <t xml:space="preserve">GT-576</t>
  </si>
  <si>
    <t xml:space="preserve">aws_lb_listener.http</t>
  </si>
  <si>
    <t xml:space="preserve">GT-577</t>
  </si>
  <si>
    <t xml:space="preserve">GT-578</t>
  </si>
  <si>
    <t xml:space="preserve">aws_lb_target_group.this</t>
  </si>
  <si>
    <t xml:space="preserve">GT-579</t>
  </si>
  <si>
    <t xml:space="preserve">rce_web_app/s3.tf</t>
  </si>
  <si>
    <t xml:space="preserve">aws_s3_bucket.keystore</t>
  </si>
  <si>
    <t xml:space="preserve">GT-580</t>
  </si>
  <si>
    <t xml:space="preserve">GT-581</t>
  </si>
  <si>
    <t xml:space="preserve">GT-582</t>
  </si>
  <si>
    <t xml:space="preserve">GT-583</t>
  </si>
  <si>
    <t xml:space="preserve">GT-584</t>
  </si>
  <si>
    <t xml:space="preserve">GT-585</t>
  </si>
  <si>
    <t xml:space="preserve">GT-586</t>
  </si>
  <si>
    <t xml:space="preserve">GT-587</t>
  </si>
  <si>
    <t xml:space="preserve">GT-588</t>
  </si>
  <si>
    <t xml:space="preserve">GT-589</t>
  </si>
  <si>
    <t xml:space="preserve">GT-590</t>
  </si>
  <si>
    <t xml:space="preserve">GT-591</t>
  </si>
  <si>
    <t xml:space="preserve">GT-592</t>
  </si>
  <si>
    <t xml:space="preserve">GT-593</t>
  </si>
  <si>
    <t xml:space="preserve">aws_s3_bucket.secret</t>
  </si>
  <si>
    <t xml:space="preserve">GT-594</t>
  </si>
  <si>
    <t xml:space="preserve">GT-595</t>
  </si>
  <si>
    <t xml:space="preserve">GT-596</t>
  </si>
  <si>
    <t xml:space="preserve">GT-597</t>
  </si>
  <si>
    <t xml:space="preserve">GT-598</t>
  </si>
  <si>
    <t xml:space="preserve">GT-599</t>
  </si>
  <si>
    <t xml:space="preserve">GT-600</t>
  </si>
  <si>
    <t xml:space="preserve">aws_security_group.ec2_http</t>
  </si>
  <si>
    <t xml:space="preserve">GT-601</t>
  </si>
  <si>
    <t xml:space="preserve">aws_security_group.ec2_ssh</t>
  </si>
  <si>
    <t xml:space="preserve">GT-602</t>
  </si>
  <si>
    <t xml:space="preserve">GT-603</t>
  </si>
  <si>
    <t xml:space="preserve">GT-604</t>
  </si>
  <si>
    <t xml:space="preserve">aws_security_group.lb_http</t>
  </si>
  <si>
    <t xml:space="preserve">GT-605</t>
  </si>
  <si>
    <t xml:space="preserve">GT-606</t>
  </si>
  <si>
    <t xml:space="preserve">GT-607</t>
  </si>
  <si>
    <t xml:space="preserve">GT-608</t>
  </si>
  <si>
    <t xml:space="preserve">GT-609</t>
  </si>
  <si>
    <t xml:space="preserve">rce_web_app/vpc.tf</t>
  </si>
  <si>
    <t xml:space="preserve">aws_vpc.this</t>
  </si>
  <si>
    <t xml:space="preserve">GT-610</t>
  </si>
  <si>
    <t xml:space="preserve">GT-611</t>
  </si>
  <si>
    <t xml:space="preserve">rds_snapshot/rds.tf</t>
  </si>
  <si>
    <t xml:space="preserve">aws_db_instance.cg-rds-db_instance</t>
  </si>
  <si>
    <t xml:space="preserve">GT-612</t>
  </si>
  <si>
    <t xml:space="preserve">GT-613</t>
  </si>
  <si>
    <t xml:space="preserve">GT-614</t>
  </si>
  <si>
    <t xml:space="preserve">GT-615</t>
  </si>
  <si>
    <t xml:space="preserve">GT-616</t>
  </si>
  <si>
    <t xml:space="preserve">GT-617</t>
  </si>
  <si>
    <t xml:space="preserve">GT-618</t>
  </si>
  <si>
    <t xml:space="preserve">GT-619</t>
  </si>
  <si>
    <t xml:space="preserve">rds_snapshot/iam.tf</t>
  </si>
  <si>
    <t xml:space="preserve">aws_iam_role_policy.cg-ec2-admin-policy</t>
  </si>
  <si>
    <t xml:space="preserve">GT-620</t>
  </si>
  <si>
    <t xml:space="preserve">GT-621</t>
  </si>
  <si>
    <t xml:space="preserve">GT-622</t>
  </si>
  <si>
    <t xml:space="preserve">GT-623</t>
  </si>
  <si>
    <t xml:space="preserve">aws_iam_user.cg-david</t>
  </si>
  <si>
    <t xml:space="preserve">GT-624</t>
  </si>
  <si>
    <t xml:space="preserve">aws_iam_user_policy.cg-david-policy</t>
  </si>
  <si>
    <t xml:space="preserve">GT-625</t>
  </si>
  <si>
    <t xml:space="preserve">GT-626</t>
  </si>
  <si>
    <t xml:space="preserve">rds_snapshot/ec2.tf</t>
  </si>
  <si>
    <t xml:space="preserve">aws_instance.cg-ec2-instance</t>
  </si>
  <si>
    <t xml:space="preserve">GT-627</t>
  </si>
  <si>
    <t xml:space="preserve">GT-628</t>
  </si>
  <si>
    <t xml:space="preserve">GT-629</t>
  </si>
  <si>
    <t xml:space="preserve">rds_snapshot/s3.tf</t>
  </si>
  <si>
    <t xml:space="preserve">aws_s3_bucket.cg-data-s3-bucket</t>
  </si>
  <si>
    <t xml:space="preserve">GT-630</t>
  </si>
  <si>
    <t xml:space="preserve">GT-631</t>
  </si>
  <si>
    <t xml:space="preserve">GT-632</t>
  </si>
  <si>
    <t xml:space="preserve">GT-633</t>
  </si>
  <si>
    <t xml:space="preserve">GT-634</t>
  </si>
  <si>
    <t xml:space="preserve">GT-635</t>
  </si>
  <si>
    <t xml:space="preserve">GT-636</t>
  </si>
  <si>
    <t xml:space="preserve">rds_snapshot/vpc.tf</t>
  </si>
  <si>
    <t xml:space="preserve">aws_security_group.allow_mysql</t>
  </si>
  <si>
    <t xml:space="preserve">GT-637</t>
  </si>
  <si>
    <t xml:space="preserve">GT-638</t>
  </si>
  <si>
    <t xml:space="preserve">GT-639</t>
  </si>
  <si>
    <t xml:space="preserve">GT-640</t>
  </si>
  <si>
    <t xml:space="preserve">GT-641</t>
  </si>
  <si>
    <t xml:space="preserve">aws_subnet.cg-subnet-1</t>
  </si>
  <si>
    <t xml:space="preserve">GT-642</t>
  </si>
  <si>
    <t xml:space="preserve">aws_subnet.cg-subnet-2</t>
  </si>
  <si>
    <t xml:space="preserve">GT-643</t>
  </si>
  <si>
    <t xml:space="preserve">GT-644</t>
  </si>
  <si>
    <t xml:space="preserve">GT-645</t>
  </si>
  <si>
    <t xml:space="preserve">s3_version_rollback_via_cfn/iam.tf</t>
  </si>
  <si>
    <t xml:space="preserve">aws_iam_role_policy.cloudformation_role_policy</t>
  </si>
  <si>
    <t xml:space="preserve">GT-646</t>
  </si>
  <si>
    <t xml:space="preserve">GT-647</t>
  </si>
  <si>
    <t xml:space="preserve">GT-648</t>
  </si>
  <si>
    <t xml:space="preserve">aws_iam_user.web_manager</t>
  </si>
  <si>
    <t xml:space="preserve">GT-649</t>
  </si>
  <si>
    <t xml:space="preserve">aws_iam_user_policy.web_manager_s3_policy</t>
  </si>
  <si>
    <t xml:space="preserve">GT-650</t>
  </si>
  <si>
    <t xml:space="preserve">s3_version_rollback_via_cfn/s3.tf</t>
  </si>
  <si>
    <t xml:space="preserve">aws_s3_bucket.flag_bucket</t>
  </si>
  <si>
    <t xml:space="preserve">GT-651</t>
  </si>
  <si>
    <t xml:space="preserve">GT-652</t>
  </si>
  <si>
    <t xml:space="preserve">GT-653</t>
  </si>
  <si>
    <t xml:space="preserve">GT-654</t>
  </si>
  <si>
    <t xml:space="preserve">GT-655</t>
  </si>
  <si>
    <t xml:space="preserve">GT-656</t>
  </si>
  <si>
    <t xml:space="preserve">GT-657</t>
  </si>
  <si>
    <t xml:space="preserve">aws_s3_bucket.index_bucket</t>
  </si>
  <si>
    <t xml:space="preserve">GT-658</t>
  </si>
  <si>
    <t xml:space="preserve">GT-659</t>
  </si>
  <si>
    <t xml:space="preserve">GT-660</t>
  </si>
  <si>
    <t xml:space="preserve">GT-661</t>
  </si>
  <si>
    <t xml:space="preserve">GT-662</t>
  </si>
  <si>
    <t xml:space="preserve">GT-663</t>
  </si>
  <si>
    <t xml:space="preserve">aws_s3_bucket_policy.flag_bucket_policy</t>
  </si>
  <si>
    <t xml:space="preserve">GT-664</t>
  </si>
  <si>
    <t xml:space="preserve">aws_s3_bucket_policy.index_bucket_policy</t>
  </si>
  <si>
    <t xml:space="preserve">GT-665</t>
  </si>
  <si>
    <t xml:space="preserve">aws_s3_bucket_public_access_block.flag_block</t>
  </si>
  <si>
    <t xml:space="preserve">GT-666</t>
  </si>
  <si>
    <t xml:space="preserve">GT-667</t>
  </si>
  <si>
    <t xml:space="preserve">GT-668</t>
  </si>
  <si>
    <t xml:space="preserve">GT-669</t>
  </si>
  <si>
    <t xml:space="preserve">aws_s3_bucket_public_access_block.index_block</t>
  </si>
  <si>
    <t xml:space="preserve">GT-670</t>
  </si>
  <si>
    <t xml:space="preserve">GT-671</t>
  </si>
  <si>
    <t xml:space="preserve">GT-672</t>
  </si>
  <si>
    <t xml:space="preserve">GT-673</t>
  </si>
  <si>
    <t xml:space="preserve">scenario_template/iam.tf</t>
  </si>
  <si>
    <t xml:space="preserve">aws_iam_role_policy.ec2</t>
  </si>
  <si>
    <t xml:space="preserve">GT-674</t>
  </si>
  <si>
    <t xml:space="preserve">GT-675</t>
  </si>
  <si>
    <t xml:space="preserve">aws_iam_user.user1</t>
  </si>
  <si>
    <t xml:space="preserve">GT-676</t>
  </si>
  <si>
    <t xml:space="preserve">aws_iam_user.user2</t>
  </si>
  <si>
    <t xml:space="preserve">GT-677</t>
  </si>
  <si>
    <t xml:space="preserve">aws_iam_user_policy.user1</t>
  </si>
  <si>
    <t xml:space="preserve">GT-678</t>
  </si>
  <si>
    <t xml:space="preserve">GT-679</t>
  </si>
  <si>
    <t xml:space="preserve">aws_iam_user_policy.user2</t>
  </si>
  <si>
    <t xml:space="preserve">GT-680</t>
  </si>
  <si>
    <t xml:space="preserve">scenario_template/ec2.tf</t>
  </si>
  <si>
    <t xml:space="preserve">aws_instance.instance</t>
  </si>
  <si>
    <t xml:space="preserve">GT-681</t>
  </si>
  <si>
    <t xml:space="preserve">GT-682</t>
  </si>
  <si>
    <t xml:space="preserve">GT-683</t>
  </si>
  <si>
    <t xml:space="preserve">GT-684</t>
  </si>
  <si>
    <t xml:space="preserve">GT-685</t>
  </si>
  <si>
    <t xml:space="preserve">GT-686</t>
  </si>
  <si>
    <t xml:space="preserve">GT-687</t>
  </si>
  <si>
    <t xml:space="preserve">GT-688</t>
  </si>
  <si>
    <t xml:space="preserve">GT-689</t>
  </si>
  <si>
    <t xml:space="preserve">scenario_template/vpc.tf</t>
  </si>
  <si>
    <t xml:space="preserve">GT-690</t>
  </si>
  <si>
    <t xml:space="preserve">GT-691</t>
  </si>
  <si>
    <t xml:space="preserve">GT-692</t>
  </si>
  <si>
    <t xml:space="preserve">secrets_in_the_cloud/lambda_function.tf</t>
  </si>
  <si>
    <t xml:space="preserve">aws_cloudwatch_log_group.lambda</t>
  </si>
  <si>
    <t xml:space="preserve">GT-693</t>
  </si>
  <si>
    <t xml:space="preserve">GT-694</t>
  </si>
  <si>
    <t xml:space="preserve">secrets_in_the_cloud/dynamodb.tf</t>
  </si>
  <si>
    <t xml:space="preserve">aws_dynamodb_table.secrets_table</t>
  </si>
  <si>
    <t xml:space="preserve">GT-695</t>
  </si>
  <si>
    <t xml:space="preserve">GT-696</t>
  </si>
  <si>
    <t xml:space="preserve">secrets_in_the_cloud/iam.tf</t>
  </si>
  <si>
    <t xml:space="preserve">GT-697</t>
  </si>
  <si>
    <t xml:space="preserve">aws_iam_user.secrets_manager_user</t>
  </si>
  <si>
    <t xml:space="preserve">GT-698</t>
  </si>
  <si>
    <t xml:space="preserve">aws_iam_user_policy.secrets_manager_user_policy</t>
  </si>
  <si>
    <t xml:space="preserve">GT-699</t>
  </si>
  <si>
    <t xml:space="preserve">GT-700</t>
  </si>
  <si>
    <t xml:space="preserve">secrets_in_the_cloud/ec2_instance.tf</t>
  </si>
  <si>
    <t xml:space="preserve">aws_instance.web_app</t>
  </si>
  <si>
    <t xml:space="preserve">GT-701</t>
  </si>
  <si>
    <t xml:space="preserve">GT-702</t>
  </si>
  <si>
    <t xml:space="preserve">GT-703</t>
  </si>
  <si>
    <t xml:space="preserve">aws_lambda_function.this</t>
  </si>
  <si>
    <t xml:space="preserve">GT-704</t>
  </si>
  <si>
    <t xml:space="preserve">GT-705</t>
  </si>
  <si>
    <t xml:space="preserve">GT-706</t>
  </si>
  <si>
    <t xml:space="preserve">GT-707</t>
  </si>
  <si>
    <t xml:space="preserve">GT-708</t>
  </si>
  <si>
    <t xml:space="preserve">GT-709</t>
  </si>
  <si>
    <t xml:space="preserve">secrets_in_the_cloud/s3_bucket.tf</t>
  </si>
  <si>
    <t xml:space="preserve">aws_s3_bucket.secrets_bucket</t>
  </si>
  <si>
    <t xml:space="preserve">GT-710</t>
  </si>
  <si>
    <t xml:space="preserve">GT-711</t>
  </si>
  <si>
    <t xml:space="preserve">GT-712</t>
  </si>
  <si>
    <t xml:space="preserve">GT-713</t>
  </si>
  <si>
    <t xml:space="preserve">GT-714</t>
  </si>
  <si>
    <t xml:space="preserve">GT-715</t>
  </si>
  <si>
    <t xml:space="preserve">GT-716</t>
  </si>
  <si>
    <t xml:space="preserve">secrets_in_the_cloud/secrets_manager.tf</t>
  </si>
  <si>
    <t xml:space="preserve">aws_secretsmanager_secret.this</t>
  </si>
  <si>
    <t xml:space="preserve">GT-717</t>
  </si>
  <si>
    <t xml:space="preserve">GT-718</t>
  </si>
  <si>
    <t xml:space="preserve">aws_security_group.web_app_sg</t>
  </si>
  <si>
    <t xml:space="preserve">GT-719</t>
  </si>
  <si>
    <t xml:space="preserve">GT-720</t>
  </si>
  <si>
    <t xml:space="preserve">GT-721</t>
  </si>
  <si>
    <t xml:space="preserve">secrets_in_the_cloud/vpc.tf</t>
  </si>
  <si>
    <t xml:space="preserve">GT-722</t>
  </si>
  <si>
    <t xml:space="preserve">GT-723</t>
  </si>
  <si>
    <t xml:space="preserve">GT-724</t>
  </si>
  <si>
    <t xml:space="preserve">sns_secrets/api_gateway.tf</t>
  </si>
  <si>
    <t xml:space="preserve">aws_api_gateway_deployment.deployment</t>
  </si>
  <si>
    <t xml:space="preserve">GT-725</t>
  </si>
  <si>
    <t xml:space="preserve">aws_api_gateway_method.method</t>
  </si>
  <si>
    <t xml:space="preserve">GT-726</t>
  </si>
  <si>
    <t xml:space="preserve">aws_api_gateway_rest_api.api</t>
  </si>
  <si>
    <t xml:space="preserve">GT-727</t>
  </si>
  <si>
    <t xml:space="preserve">aws_api_gateway_stage.stage</t>
  </si>
  <si>
    <t xml:space="preserve">GT-728</t>
  </si>
  <si>
    <t xml:space="preserve">GT-729</t>
  </si>
  <si>
    <t xml:space="preserve">GT-730</t>
  </si>
  <si>
    <t xml:space="preserve">GT-731</t>
  </si>
  <si>
    <t xml:space="preserve">GT-732</t>
  </si>
  <si>
    <t xml:space="preserve">GT-733</t>
  </si>
  <si>
    <t xml:space="preserve">sns_secrets/lambda.tf</t>
  </si>
  <si>
    <t xml:space="preserve">GT-734</t>
  </si>
  <si>
    <t xml:space="preserve">GT-735</t>
  </si>
  <si>
    <t xml:space="preserve">sns_secrets/iam.tf</t>
  </si>
  <si>
    <t xml:space="preserve">aws_iam_user.sns_user</t>
  </si>
  <si>
    <t xml:space="preserve">GT-736</t>
  </si>
  <si>
    <t xml:space="preserve">aws_iam_user_policy.sns_user_policy</t>
  </si>
  <si>
    <t xml:space="preserve">GT-737</t>
  </si>
  <si>
    <t xml:space="preserve">GT-738</t>
  </si>
  <si>
    <t xml:space="preserve">aws_lambda_function.sns_publisher</t>
  </si>
  <si>
    <t xml:space="preserve">GT-739</t>
  </si>
  <si>
    <t xml:space="preserve">GT-740</t>
  </si>
  <si>
    <t xml:space="preserve">GT-741</t>
  </si>
  <si>
    <t xml:space="preserve">GT-742</t>
  </si>
  <si>
    <t xml:space="preserve">GT-743</t>
  </si>
  <si>
    <t xml:space="preserve">GT-744</t>
  </si>
  <si>
    <t xml:space="preserve">sns_secrets/sns.tf</t>
  </si>
  <si>
    <t xml:space="preserve">aws_sns_topic.public_topic</t>
  </si>
  <si>
    <t xml:space="preserve">GT-745</t>
  </si>
  <si>
    <t xml:space="preserve">aws_sns_topic_policy.public_topic_policy</t>
  </si>
  <si>
    <t xml:space="preserve">GT-746</t>
  </si>
  <si>
    <t xml:space="preserve">sqs_flag_shop/lambda.tf</t>
  </si>
  <si>
    <t xml:space="preserve">aws_cloudwatch_log_group.lambda_logs</t>
  </si>
  <si>
    <t xml:space="preserve">GT-747</t>
  </si>
  <si>
    <t xml:space="preserve">GT-748</t>
  </si>
  <si>
    <t xml:space="preserve">GT-749</t>
  </si>
  <si>
    <t xml:space="preserve">sqs_flag_shop/rds.tf</t>
  </si>
  <si>
    <t xml:space="preserve">GT-750</t>
  </si>
  <si>
    <t xml:space="preserve">GT-751</t>
  </si>
  <si>
    <t xml:space="preserve">GT-752</t>
  </si>
  <si>
    <t xml:space="preserve">GT-753</t>
  </si>
  <si>
    <t xml:space="preserve">GT-754</t>
  </si>
  <si>
    <t xml:space="preserve">GT-755</t>
  </si>
  <si>
    <t xml:space="preserve">GT-756</t>
  </si>
  <si>
    <t xml:space="preserve">sqs_flag_shop/iam.tf</t>
  </si>
  <si>
    <t xml:space="preserve">aws_iam_user.sqs</t>
  </si>
  <si>
    <t xml:space="preserve">GT-757</t>
  </si>
  <si>
    <t xml:space="preserve">aws_iam_user.web_sqs_manager</t>
  </si>
  <si>
    <t xml:space="preserve">GT-758</t>
  </si>
  <si>
    <t xml:space="preserve">aws_iam_user_policy.sqs_scenario_assumed_role</t>
  </si>
  <si>
    <t xml:space="preserve">GT-759</t>
  </si>
  <si>
    <t xml:space="preserve">sqs_flag_shop/ec2.tf</t>
  </si>
  <si>
    <t xml:space="preserve">aws_instance.flag_shop_server</t>
  </si>
  <si>
    <t xml:space="preserve">GT-760</t>
  </si>
  <si>
    <t xml:space="preserve">GT-761</t>
  </si>
  <si>
    <t xml:space="preserve">GT-762</t>
  </si>
  <si>
    <t xml:space="preserve">GT-763</t>
  </si>
  <si>
    <t xml:space="preserve">GT-764</t>
  </si>
  <si>
    <t xml:space="preserve">aws_lambda_function.charging_cash_lambda</t>
  </si>
  <si>
    <t xml:space="preserve">GT-765</t>
  </si>
  <si>
    <t xml:space="preserve">GT-766</t>
  </si>
  <si>
    <t xml:space="preserve">GT-767</t>
  </si>
  <si>
    <t xml:space="preserve">GT-768</t>
  </si>
  <si>
    <t xml:space="preserve">GT-769</t>
  </si>
  <si>
    <t xml:space="preserve">sqs_flag_shop/security_groups.tf</t>
  </si>
  <si>
    <t xml:space="preserve">GT-770</t>
  </si>
  <si>
    <t xml:space="preserve">GT-771</t>
  </si>
  <si>
    <t xml:space="preserve">aws_security_group.lambda</t>
  </si>
  <si>
    <t xml:space="preserve">GT-772</t>
  </si>
  <si>
    <t xml:space="preserve">GT-773</t>
  </si>
  <si>
    <t xml:space="preserve">GT-774</t>
  </si>
  <si>
    <t xml:space="preserve">GT-775</t>
  </si>
  <si>
    <t xml:space="preserve">sqs_flag_shop/vpc.tf</t>
  </si>
  <si>
    <t xml:space="preserve">GT-776</t>
  </si>
  <si>
    <t xml:space="preserve">GT-777</t>
  </si>
  <si>
    <t xml:space="preserve">static/ec2.tf</t>
  </si>
  <si>
    <t xml:space="preserve">GT-778</t>
  </si>
  <si>
    <t xml:space="preserve">GT-779</t>
  </si>
  <si>
    <t xml:space="preserve">GT-780</t>
  </si>
  <si>
    <t xml:space="preserve">GT-781</t>
  </si>
  <si>
    <t xml:space="preserve">static/s3.tf</t>
  </si>
  <si>
    <t xml:space="preserve">aws_s3_bucket.assets_bucket</t>
  </si>
  <si>
    <t xml:space="preserve">GT-782</t>
  </si>
  <si>
    <t xml:space="preserve">GT-783</t>
  </si>
  <si>
    <t xml:space="preserve">GT-784</t>
  </si>
  <si>
    <t xml:space="preserve">GT-785</t>
  </si>
  <si>
    <t xml:space="preserve">GT-786</t>
  </si>
  <si>
    <t xml:space="preserve">GT-787</t>
  </si>
  <si>
    <t xml:space="preserve">GT-788</t>
  </si>
  <si>
    <t xml:space="preserve">aws_s3_bucket_public_access_block.assets_bucket_access</t>
  </si>
  <si>
    <t xml:space="preserve">GT-789</t>
  </si>
  <si>
    <t xml:space="preserve">GT-790</t>
  </si>
  <si>
    <t xml:space="preserve">GT-791</t>
  </si>
  <si>
    <t xml:space="preserve">GT-792</t>
  </si>
  <si>
    <t xml:space="preserve">GT-793</t>
  </si>
  <si>
    <t xml:space="preserve">GT-794</t>
  </si>
  <si>
    <t xml:space="preserve">GT-795</t>
  </si>
  <si>
    <t xml:space="preserve">GT-796</t>
  </si>
  <si>
    <t xml:space="preserve">static/vpc.tf</t>
  </si>
  <si>
    <t xml:space="preserve">GT-797</t>
  </si>
  <si>
    <t xml:space="preserve">GT-798</t>
  </si>
  <si>
    <t xml:space="preserve">GT-799</t>
  </si>
  <si>
    <t xml:space="preserve">vpc_peering_overexposed/rds.tf</t>
  </si>
  <si>
    <t xml:space="preserve">aws_db_instance.customer_db</t>
  </si>
  <si>
    <t xml:space="preserve">GT-800</t>
  </si>
  <si>
    <t xml:space="preserve">GT-801</t>
  </si>
  <si>
    <t xml:space="preserve">GT-802</t>
  </si>
  <si>
    <t xml:space="preserve">GT-803</t>
  </si>
  <si>
    <t xml:space="preserve">GT-804</t>
  </si>
  <si>
    <t xml:space="preserve">GT-805</t>
  </si>
  <si>
    <t xml:space="preserve">GT-806</t>
  </si>
  <si>
    <t xml:space="preserve">GT-807</t>
  </si>
  <si>
    <t xml:space="preserve">GT-808</t>
  </si>
  <si>
    <t xml:space="preserve">vpc_peering_overexposed/iam.tf</t>
  </si>
  <si>
    <t xml:space="preserve">aws_iam_policy.ssm_policy</t>
  </si>
  <si>
    <t xml:space="preserve">GT-809</t>
  </si>
  <si>
    <t xml:space="preserve">GT-810</t>
  </si>
  <si>
    <t xml:space="preserve">aws_iam_role_policy.dev_ec2_policy</t>
  </si>
  <si>
    <t xml:space="preserve">GT-811</t>
  </si>
  <si>
    <t xml:space="preserve">GT-812</t>
  </si>
  <si>
    <t xml:space="preserve">aws_iam_role_policy.prod_ec2_policy</t>
  </si>
  <si>
    <t xml:space="preserve">GT-813</t>
  </si>
  <si>
    <t xml:space="preserve">GT-814</t>
  </si>
  <si>
    <t xml:space="preserve">GT-815</t>
  </si>
  <si>
    <t xml:space="preserve">vpc_peering_overexposed/ec2.tf</t>
  </si>
  <si>
    <t xml:space="preserve">aws_instance.dev_ec2</t>
  </si>
  <si>
    <t xml:space="preserve">GT-816</t>
  </si>
  <si>
    <t xml:space="preserve">GT-817</t>
  </si>
  <si>
    <t xml:space="preserve">GT-818</t>
  </si>
  <si>
    <t xml:space="preserve">GT-819</t>
  </si>
  <si>
    <t xml:space="preserve">GT-820</t>
  </si>
  <si>
    <t xml:space="preserve">aws_instance.prod_ec2</t>
  </si>
  <si>
    <t xml:space="preserve">GT-821</t>
  </si>
  <si>
    <t xml:space="preserve">GT-822</t>
  </si>
  <si>
    <t xml:space="preserve">GT-823</t>
  </si>
  <si>
    <t xml:space="preserve">vpc_peering_overexposed/vpc.tf</t>
  </si>
  <si>
    <t xml:space="preserve">aws_security_group.db_sg</t>
  </si>
  <si>
    <t xml:space="preserve">GT-824</t>
  </si>
  <si>
    <t xml:space="preserve">GT-825</t>
  </si>
  <si>
    <t xml:space="preserve">aws_security_group.dev_sg</t>
  </si>
  <si>
    <t xml:space="preserve">GT-826</t>
  </si>
  <si>
    <t xml:space="preserve">GT-827</t>
  </si>
  <si>
    <t xml:space="preserve">GT-828</t>
  </si>
  <si>
    <t xml:space="preserve">aws_security_group.prod_sg</t>
  </si>
  <si>
    <t xml:space="preserve">GT-829</t>
  </si>
  <si>
    <t xml:space="preserve">GT-830</t>
  </si>
  <si>
    <t xml:space="preserve">aws_security_group.ssm_endpoint_sg</t>
  </si>
  <si>
    <t xml:space="preserve">GT-831</t>
  </si>
  <si>
    <t xml:space="preserve">GT-832</t>
  </si>
  <si>
    <t xml:space="preserve">aws_subnet.dev_subnet</t>
  </si>
  <si>
    <t xml:space="preserve">GT-833</t>
  </si>
  <si>
    <t xml:space="preserve">aws_vpc.dev_vpc</t>
  </si>
  <si>
    <t xml:space="preserve">GT-834</t>
  </si>
  <si>
    <t xml:space="preserve">GT-835</t>
  </si>
  <si>
    <t xml:space="preserve">aws_vpc.prod_vpc</t>
  </si>
  <si>
    <t xml:space="preserve">GT-836</t>
  </si>
  <si>
    <t xml:space="preserve">GT-837</t>
  </si>
  <si>
    <t xml:space="preserve">vulnerable_cognito/apig.tf</t>
  </si>
  <si>
    <t xml:space="preserve">aws_api_gateway_deployment.S3APIDeployment</t>
  </si>
  <si>
    <t xml:space="preserve">GT-838</t>
  </si>
  <si>
    <t xml:space="preserve">aws_api_gateway_method.GetBucketFolder</t>
  </si>
  <si>
    <t xml:space="preserve">GT-839</t>
  </si>
  <si>
    <t xml:space="preserve">GT-840</t>
  </si>
  <si>
    <t xml:space="preserve">aws_api_gateway_method.GetBucketItem</t>
  </si>
  <si>
    <t xml:space="preserve">GT-841</t>
  </si>
  <si>
    <t xml:space="preserve">GT-842</t>
  </si>
  <si>
    <t xml:space="preserve">aws_api_gateway_method.GetBuckets</t>
  </si>
  <si>
    <t xml:space="preserve">GT-843</t>
  </si>
  <si>
    <t xml:space="preserve">GT-844</t>
  </si>
  <si>
    <t xml:space="preserve">aws_api_gateway_rest_api.MyS3</t>
  </si>
  <si>
    <t xml:space="preserve">GT-845</t>
  </si>
  <si>
    <t xml:space="preserve">aws_api_gateway_stage.S3APIStage</t>
  </si>
  <si>
    <t xml:space="preserve">GT-846</t>
  </si>
  <si>
    <t xml:space="preserve">GT-847</t>
  </si>
  <si>
    <t xml:space="preserve">GT-848</t>
  </si>
  <si>
    <t xml:space="preserve">GT-849</t>
  </si>
  <si>
    <t xml:space="preserve">GT-850</t>
  </si>
  <si>
    <t xml:space="preserve">GT-851</t>
  </si>
  <si>
    <t xml:space="preserve">vulnerable_cognito/lambda.tf</t>
  </si>
  <si>
    <t xml:space="preserve">aws_iam_policy.cognito-policy</t>
  </si>
  <si>
    <t xml:space="preserve">GT-852</t>
  </si>
  <si>
    <t xml:space="preserve">GT-853</t>
  </si>
  <si>
    <t xml:space="preserve">GT-854</t>
  </si>
  <si>
    <t xml:space="preserve">aws_lambda_function.test_lambda</t>
  </si>
  <si>
    <t xml:space="preserve">GT-855</t>
  </si>
  <si>
    <t xml:space="preserve">GT-856</t>
  </si>
  <si>
    <t xml:space="preserve">GT-857</t>
  </si>
  <si>
    <t xml:space="preserve">GT-858</t>
  </si>
  <si>
    <t xml:space="preserve">GT-859</t>
  </si>
  <si>
    <t xml:space="preserve">GT-860</t>
  </si>
  <si>
    <t xml:space="preserve">aws_lambda_permission.allow_cognitoidp</t>
  </si>
  <si>
    <t xml:space="preserve">GT-861</t>
  </si>
  <si>
    <t xml:space="preserve">vulnerable_cognito/s3.tf</t>
  </si>
  <si>
    <t xml:space="preserve">aws_s3_bucket.cognito_s3</t>
  </si>
  <si>
    <t xml:space="preserve">GT-862</t>
  </si>
  <si>
    <t xml:space="preserve">GT-863</t>
  </si>
  <si>
    <t xml:space="preserve">GT-864</t>
  </si>
  <si>
    <t xml:space="preserve">GT-865</t>
  </si>
  <si>
    <t xml:space="preserve">GT-866</t>
  </si>
  <si>
    <t xml:space="preserve">GT-867</t>
  </si>
  <si>
    <t xml:space="preserve">GT-868</t>
  </si>
  <si>
    <t xml:space="preserve">aws_s3_bucket_policy.allow_access_from_another_account</t>
  </si>
  <si>
    <t xml:space="preserve">GT-869</t>
  </si>
  <si>
    <t xml:space="preserve">aws_s3_bucket_public_access_block.cognito_s3</t>
  </si>
  <si>
    <t xml:space="preserve">GT-870</t>
  </si>
  <si>
    <t xml:space="preserve">GT-871</t>
  </si>
  <si>
    <t xml:space="preserve">vulnerable_lambda/lambda.tf</t>
  </si>
  <si>
    <t xml:space="preserve">aws_cloudwatch_log_group.policy_applier_lambda1</t>
  </si>
  <si>
    <t xml:space="preserve">GT-872</t>
  </si>
  <si>
    <t xml:space="preserve">GT-873</t>
  </si>
  <si>
    <t xml:space="preserve">vulnerable_lambda/iam.tf</t>
  </si>
  <si>
    <t xml:space="preserve">aws_iam_user.bilbo</t>
  </si>
  <si>
    <t xml:space="preserve">GT-874</t>
  </si>
  <si>
    <t xml:space="preserve">aws_iam_user_policy.standard_user</t>
  </si>
  <si>
    <t xml:space="preserve">GT-875</t>
  </si>
  <si>
    <t xml:space="preserve">aws_lambda_function.policy_applier_lambda1</t>
  </si>
  <si>
    <t xml:space="preserve">GT-876</t>
  </si>
  <si>
    <t xml:space="preserve">GT-877</t>
  </si>
  <si>
    <t xml:space="preserve">GT-878</t>
  </si>
  <si>
    <t xml:space="preserve">GT-879</t>
  </si>
  <si>
    <t xml:space="preserve">GT-880</t>
  </si>
  <si>
    <t xml:space="preserve">GT-881</t>
  </si>
  <si>
    <t xml:space="preserve">vulnerable_lambda/secretsmanager.tf</t>
  </si>
  <si>
    <t xml:space="preserve">GT-882</t>
  </si>
  <si>
    <t xml:space="preserve">Review Progress</t>
  </si>
  <si>
    <t xml:space="preserve">Decisions to make</t>
  </si>
  <si>
    <t xml:space="preserve">Adjudicated</t>
  </si>
  <si>
    <t xml:space="preserve">Remaining</t>
  </si>
  <si>
    <t xml:space="preserve">Percent complete</t>
  </si>
  <si>
    <t xml:space="preserve">Findings covered</t>
  </si>
  <si>
    <t xml:space="preserve">Findings kept (ground truth size)</t>
  </si>
  <si>
    <t xml:space="preserve">Findings dropped</t>
  </si>
  <si>
    <t xml:space="preserve">By pre-triage bucket</t>
  </si>
  <si>
    <t xml:space="preserve">Bucket</t>
  </si>
  <si>
    <t xml:space="preserve">Decisions</t>
  </si>
  <si>
    <t xml:space="preserve">Done</t>
  </si>
  <si>
    <t xml:space="preserve">Findings</t>
  </si>
  <si>
    <t xml:space="preserve">Verdict tally</t>
  </si>
</sst>
</file>

<file path=xl/styles.xml><?xml version="1.0" encoding="utf-8"?>
<styleSheet xmlns="http://schemas.openxmlformats.org/spreadsheetml/2006/main">
  <numFmts count="3">
    <numFmt numFmtId="164" formatCode="General"/>
    <numFmt numFmtId="165" formatCode="0"/>
    <numFmt numFmtId="166" formatCode="0.0%"/>
  </numFmts>
  <fonts count="18">
    <font>
      <sz val="11"/>
      <color theme="1"/>
      <name val="Calibri"/>
      <family val="2"/>
      <charset val="1"/>
    </font>
    <font>
      <sz val="10"/>
      <name val="Arial"/>
      <family val="0"/>
    </font>
    <font>
      <sz val="10"/>
      <name val="Arial"/>
      <family val="0"/>
    </font>
    <font>
      <sz val="10"/>
      <name val="Arial"/>
      <family val="0"/>
    </font>
    <font>
      <b val="true"/>
      <sz val="15"/>
      <color rgb="FF1F3864"/>
      <name val="Arial"/>
      <family val="0"/>
      <charset val="1"/>
    </font>
    <font>
      <i val="true"/>
      <sz val="10"/>
      <color rgb="FF52514E"/>
      <name val="Arial"/>
      <family val="0"/>
      <charset val="1"/>
    </font>
    <font>
      <b val="true"/>
      <sz val="10"/>
      <name val="Arial"/>
      <family val="0"/>
      <charset val="1"/>
    </font>
    <font>
      <sz val="10"/>
      <name val="Arial"/>
      <family val="0"/>
      <charset val="1"/>
    </font>
    <font>
      <b val="true"/>
      <sz val="11"/>
      <color rgb="FF1F3864"/>
      <name val="Arial"/>
      <family val="0"/>
      <charset val="1"/>
    </font>
    <font>
      <b val="true"/>
      <sz val="9"/>
      <color rgb="FF595959"/>
      <name val="Arial"/>
      <family val="0"/>
      <charset val="1"/>
    </font>
    <font>
      <sz val="9"/>
      <name val="Arial"/>
      <family val="0"/>
      <charset val="1"/>
    </font>
    <font>
      <b val="true"/>
      <sz val="14"/>
      <color rgb="FF1F3864"/>
      <name val="Arial"/>
      <family val="0"/>
      <charset val="1"/>
    </font>
    <font>
      <i val="true"/>
      <sz val="9"/>
      <color rgb="FF52514E"/>
      <name val="Arial"/>
      <family val="0"/>
      <charset val="1"/>
    </font>
    <font>
      <b val="true"/>
      <sz val="10"/>
      <color rgb="FF0B0B0B"/>
      <name val="Arial"/>
      <family val="0"/>
      <charset val="1"/>
    </font>
    <font>
      <b val="true"/>
      <sz val="10"/>
      <color rgb="FFC00000"/>
      <name val="Arial"/>
      <family val="0"/>
      <charset val="1"/>
    </font>
    <font>
      <b val="true"/>
      <sz val="10"/>
      <color rgb="FFFFFFFF"/>
      <name val="Arial"/>
      <family val="0"/>
      <charset val="1"/>
    </font>
    <font>
      <b val="true"/>
      <sz val="9"/>
      <name val="Arial"/>
      <family val="0"/>
      <charset val="1"/>
    </font>
    <font>
      <b val="true"/>
      <sz val="9"/>
      <color rgb="FFFFFFFF"/>
      <name val="Arial"/>
      <family val="0"/>
      <charset val="1"/>
    </font>
  </fonts>
  <fills count="7">
    <fill>
      <patternFill patternType="none"/>
    </fill>
    <fill>
      <patternFill patternType="gray125"/>
    </fill>
    <fill>
      <patternFill patternType="solid">
        <fgColor rgb="FFFFFF00"/>
        <bgColor rgb="FFFFFF00"/>
      </patternFill>
    </fill>
    <fill>
      <patternFill patternType="solid">
        <fgColor rgb="FFFFF2CC"/>
        <bgColor rgb="FFFCE4D6"/>
      </patternFill>
    </fill>
    <fill>
      <patternFill patternType="solid">
        <fgColor rgb="FF1F3864"/>
        <bgColor rgb="FF333399"/>
      </patternFill>
    </fill>
    <fill>
      <patternFill patternType="solid">
        <fgColor rgb="FFFCE4D6"/>
        <bgColor rgb="FFFFF2CC"/>
      </patternFill>
    </fill>
    <fill>
      <patternFill patternType="solid">
        <fgColor rgb="FFE2EFDA"/>
        <bgColor rgb="FFFCE4D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0" fillId="2"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4" fontId="7" fillId="3" borderId="0" xfId="0" applyFont="true" applyBorder="false" applyAlignment="true" applyProtection="false">
      <alignment horizontal="general" vertical="top" textRotation="0" wrapText="true" indent="0" shrinkToFit="false"/>
      <protection locked="true" hidden="false"/>
    </xf>
    <xf numFmtId="164" fontId="15" fillId="4" borderId="1" xfId="0" applyFont="true" applyBorder="true" applyAlignment="true" applyProtection="false">
      <alignment horizontal="general" vertical="center" textRotation="0" wrapText="true" indent="0" shrinkToFit="false"/>
      <protection locked="true" hidden="false"/>
    </xf>
    <xf numFmtId="164" fontId="10" fillId="0" borderId="1" xfId="0" applyFont="true" applyBorder="true" applyAlignment="true" applyProtection="false">
      <alignment horizontal="general" vertical="top"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6" fillId="0" borderId="1" xfId="0" applyFont="true" applyBorder="true" applyAlignment="true" applyProtection="false">
      <alignment horizontal="center" vertical="bottom" textRotation="0" wrapText="false" indent="0" shrinkToFit="false"/>
      <protection locked="true" hidden="false"/>
    </xf>
    <xf numFmtId="164" fontId="16" fillId="3" borderId="1" xfId="0" applyFont="true" applyBorder="true" applyAlignment="true" applyProtection="false">
      <alignment horizontal="general" vertical="top" textRotation="0" wrapText="false" indent="0" shrinkToFit="false"/>
      <protection locked="true" hidden="false"/>
    </xf>
    <xf numFmtId="164" fontId="10" fillId="2" borderId="1" xfId="0" applyFont="true" applyBorder="true" applyAlignment="true" applyProtection="false">
      <alignment horizontal="general" vertical="top" textRotation="0" wrapText="false" indent="0" shrinkToFit="false"/>
      <protection locked="true" hidden="false"/>
    </xf>
    <xf numFmtId="164" fontId="10" fillId="2" borderId="1" xfId="0" applyFont="true" applyBorder="true" applyAlignment="true" applyProtection="false">
      <alignment horizontal="general" vertical="top" textRotation="0" wrapText="true" indent="0" shrinkToFit="false"/>
      <protection locked="true" hidden="false"/>
    </xf>
    <xf numFmtId="164" fontId="16" fillId="5" borderId="1" xfId="0" applyFont="true" applyBorder="true" applyAlignment="true" applyProtection="false">
      <alignment horizontal="general" vertical="top" textRotation="0" wrapText="false" indent="0" shrinkToFit="false"/>
      <protection locked="true" hidden="false"/>
    </xf>
    <xf numFmtId="164" fontId="16" fillId="6" borderId="1" xfId="0" applyFont="true" applyBorder="true" applyAlignment="true" applyProtection="false">
      <alignment horizontal="general" vertical="top" textRotation="0" wrapText="false" indent="0" shrinkToFit="false"/>
      <protection locked="true" hidden="false"/>
    </xf>
    <xf numFmtId="164" fontId="10" fillId="5" borderId="1" xfId="0" applyFont="true" applyBorder="true" applyAlignment="true" applyProtection="false">
      <alignment horizontal="general" vertical="top" textRotation="0" wrapText="false" indent="0" shrinkToFit="false"/>
      <protection locked="true" hidden="false"/>
    </xf>
    <xf numFmtId="164" fontId="10" fillId="6" borderId="1" xfId="0" applyFont="true" applyBorder="true" applyAlignment="true" applyProtection="false">
      <alignment horizontal="general" vertical="top" textRotation="0" wrapText="false" indent="0" shrinkToFit="false"/>
      <protection locked="true" hidden="false"/>
    </xf>
    <xf numFmtId="164" fontId="10" fillId="3" borderId="1" xfId="0" applyFont="true" applyBorder="true" applyAlignment="true" applyProtection="false">
      <alignment horizontal="general" vertical="top"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7" fillId="4"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C6E0B4"/>
          <bgColor rgb="FF000000"/>
        </patternFill>
      </fill>
    </dxf>
    <dxf>
      <fill>
        <patternFill patternType="solid">
          <fgColor rgb="FFF8CBAD"/>
          <bgColor rgb="FF000000"/>
        </patternFill>
      </fill>
    </dxf>
    <dxf>
      <fill>
        <patternFill patternType="solid">
          <fgColor rgb="FFFFFF00"/>
          <bgColor rgb="FF000000"/>
        </patternFill>
      </fill>
    </dxf>
    <dxf>
      <fill>
        <patternFill>
          <bgColor rgb="FFC6E0B4"/>
        </patternFill>
      </fill>
    </dxf>
    <dxf>
      <fill>
        <patternFill>
          <bgColor rgb="FFF8CBAD"/>
        </patternFill>
      </fill>
    </dxf>
    <dxf>
      <fill>
        <patternFill>
          <bgColor rgb="FFFFE699"/>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CE4D6"/>
      <rgbColor rgb="FF660066"/>
      <rgbColor rgb="FFFF8080"/>
      <rgbColor rgb="FF0066CC"/>
      <rgbColor rgb="FFC6E0B4"/>
      <rgbColor rgb="FF000080"/>
      <rgbColor rgb="FFFF00FF"/>
      <rgbColor rgb="FFFFFF00"/>
      <rgbColor rgb="FF00FFFF"/>
      <rgbColor rgb="FF800080"/>
      <rgbColor rgb="FF800000"/>
      <rgbColor rgb="FF008080"/>
      <rgbColor rgb="FF0000FF"/>
      <rgbColor rgb="FF00CCFF"/>
      <rgbColor rgb="FFCCFFFF"/>
      <rgbColor rgb="FFE2EFDA"/>
      <rgbColor rgb="FFFFE6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B0B0B"/>
      <rgbColor rgb="FF333300"/>
      <rgbColor rgb="FF993300"/>
      <rgbColor rgb="FF993366"/>
      <rgbColor rgb="FF333399"/>
      <rgbColor rgb="FF52514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3"/>
    <col collapsed="false" customWidth="true" hidden="false" outlineLevel="0" max="2" min="2" style="0" width="104"/>
  </cols>
  <sheetData>
    <row r="1" customFormat="false" ht="18.55" hidden="false" customHeight="false" outlineLevel="0" collapsed="false">
      <c r="A1" s="1" t="s">
        <v>0</v>
      </c>
    </row>
    <row r="2" customFormat="false" ht="15" hidden="false" customHeight="false" outlineLevel="0" collapsed="false">
      <c r="A2" s="2" t="s">
        <v>1</v>
      </c>
    </row>
    <row r="4" customFormat="false" ht="23.85" hidden="false" customHeight="false" outlineLevel="0" collapsed="false">
      <c r="A4" s="3" t="s">
        <v>2</v>
      </c>
      <c r="B4" s="4" t="s">
        <v>3</v>
      </c>
    </row>
    <row r="6" customFormat="false" ht="57.45" hidden="false" customHeight="false" outlineLevel="0" collapsed="false">
      <c r="A6" s="3" t="s">
        <v>4</v>
      </c>
      <c r="B6" s="4" t="s">
        <v>5</v>
      </c>
    </row>
    <row r="8" customFormat="false" ht="15" hidden="false" customHeight="false" outlineLevel="0" collapsed="false">
      <c r="A8" s="3" t="s">
        <v>6</v>
      </c>
      <c r="B8" s="4" t="s">
        <v>7</v>
      </c>
    </row>
    <row r="9" customFormat="false" ht="15" hidden="false" customHeight="false" outlineLevel="0" collapsed="false">
      <c r="A9" s="3" t="s">
        <v>8</v>
      </c>
      <c r="B9" s="4" t="s">
        <v>9</v>
      </c>
    </row>
    <row r="10" customFormat="false" ht="15" hidden="false" customHeight="false" outlineLevel="0" collapsed="false">
      <c r="A10" s="3" t="s">
        <v>10</v>
      </c>
      <c r="B10" s="4" t="s">
        <v>11</v>
      </c>
    </row>
    <row r="12" customFormat="false" ht="23.85" hidden="false" customHeight="false" outlineLevel="0" collapsed="false">
      <c r="A12" s="3" t="s">
        <v>12</v>
      </c>
      <c r="B12" s="4" t="s">
        <v>13</v>
      </c>
    </row>
    <row r="14" customFormat="false" ht="23.85" hidden="false" customHeight="false" outlineLevel="0" collapsed="false">
      <c r="A14" s="3" t="s">
        <v>14</v>
      </c>
      <c r="B14" s="4" t="s">
        <v>15</v>
      </c>
    </row>
    <row r="16" customFormat="false" ht="23.85" hidden="false" customHeight="false" outlineLevel="0" collapsed="false">
      <c r="A16" s="3" t="s">
        <v>16</v>
      </c>
      <c r="B16" s="4" t="s">
        <v>17</v>
      </c>
    </row>
    <row r="18" customFormat="false" ht="15" hidden="false" customHeight="false" outlineLevel="0" collapsed="false">
      <c r="A18" s="3" t="s">
        <v>18</v>
      </c>
      <c r="B18" s="4" t="s">
        <v>19</v>
      </c>
    </row>
    <row r="21" customFormat="false" ht="15" hidden="false" customHeight="false" outlineLevel="0" collapsed="false">
      <c r="A21" s="5" t="s">
        <v>20</v>
      </c>
    </row>
    <row r="22" customFormat="false" ht="15" hidden="false" customHeight="false" outlineLevel="0" collapsed="false">
      <c r="A22" s="6" t="s">
        <v>21</v>
      </c>
      <c r="B22" s="7" t="s">
        <v>22</v>
      </c>
    </row>
    <row r="23" customFormat="false" ht="15" hidden="false" customHeight="false" outlineLevel="0" collapsed="false">
      <c r="A23" s="6" t="s">
        <v>23</v>
      </c>
      <c r="B23" s="7" t="s">
        <v>24</v>
      </c>
    </row>
    <row r="24" customFormat="false" ht="15" hidden="false" customHeight="false" outlineLevel="0" collapsed="false">
      <c r="A24" s="6" t="s">
        <v>25</v>
      </c>
      <c r="B24" s="7" t="s">
        <v>26</v>
      </c>
    </row>
    <row r="25" customFormat="false" ht="15" hidden="false" customHeight="false" outlineLevel="0" collapsed="false">
      <c r="A25" s="6" t="s">
        <v>27</v>
      </c>
      <c r="B25" s="8" t="s">
        <v>6</v>
      </c>
    </row>
    <row r="26" customFormat="false" ht="15" hidden="false" customHeight="false" outlineLevel="0" collapsed="false">
      <c r="A26" s="6" t="s">
        <v>28</v>
      </c>
      <c r="B26" s="8" t="s">
        <v>29</v>
      </c>
    </row>
    <row r="27" customFormat="false" ht="22.35" hidden="false" customHeight="false" outlineLevel="0" collapsed="false">
      <c r="A27" s="6" t="s">
        <v>16</v>
      </c>
      <c r="B27" s="8" t="s">
        <v>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04"/>
  </cols>
  <sheetData>
    <row r="1" customFormat="false" ht="17.35" hidden="false" customHeight="false" outlineLevel="0" collapsed="false">
      <c r="A1" s="9" t="s">
        <v>31</v>
      </c>
    </row>
    <row r="2" customFormat="false" ht="15" hidden="false" customHeight="false" outlineLevel="0" collapsed="false">
      <c r="A2" s="10" t="s">
        <v>32</v>
      </c>
    </row>
    <row r="4" customFormat="false" ht="30" hidden="false" customHeight="true" outlineLevel="0" collapsed="false">
      <c r="A4" s="11" t="s">
        <v>33</v>
      </c>
      <c r="B4" s="4" t="s">
        <v>34</v>
      </c>
    </row>
    <row r="5" customFormat="false" ht="30" hidden="false" customHeight="true" outlineLevel="0" collapsed="false">
      <c r="A5" s="11" t="s">
        <v>35</v>
      </c>
      <c r="B5" s="4" t="s">
        <v>36</v>
      </c>
    </row>
    <row r="6" customFormat="false" ht="30" hidden="false" customHeight="true" outlineLevel="0" collapsed="false">
      <c r="A6" s="11" t="s">
        <v>37</v>
      </c>
      <c r="B6" s="4" t="s">
        <v>38</v>
      </c>
    </row>
    <row r="8" customFormat="false" ht="30" hidden="false" customHeight="true" outlineLevel="0" collapsed="false">
      <c r="A8" s="12" t="s">
        <v>39</v>
      </c>
      <c r="B8" s="13" t="s">
        <v>40</v>
      </c>
    </row>
    <row r="9" customFormat="false" ht="30" hidden="false" customHeight="true" outlineLevel="0" collapsed="false">
      <c r="A9" s="12" t="s">
        <v>41</v>
      </c>
      <c r="B9" s="13" t="s">
        <v>42</v>
      </c>
    </row>
    <row r="10" customFormat="false" ht="30" hidden="false" customHeight="true" outlineLevel="0" collapsed="false">
      <c r="A10" s="12" t="s">
        <v>43</v>
      </c>
      <c r="B10" s="13" t="s">
        <v>44</v>
      </c>
    </row>
    <row r="12" customFormat="false" ht="30" hidden="false" customHeight="true" outlineLevel="0" collapsed="false">
      <c r="A12" s="11" t="s">
        <v>45</v>
      </c>
      <c r="B12" s="4" t="s">
        <v>46</v>
      </c>
    </row>
    <row r="13" customFormat="false" ht="30" hidden="false" customHeight="true" outlineLevel="0" collapsed="false">
      <c r="A13" s="11" t="s">
        <v>47</v>
      </c>
      <c r="B13" s="4" t="s">
        <v>48</v>
      </c>
    </row>
    <row r="14" customFormat="false" ht="30" hidden="false" customHeight="true" outlineLevel="0" collapsed="false">
      <c r="A14" s="11" t="s">
        <v>49</v>
      </c>
      <c r="B14" s="4" t="s">
        <v>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62"/>
    <col collapsed="false" customWidth="true" hidden="false" outlineLevel="0" max="3" min="3" style="0" width="10"/>
    <col collapsed="false" customWidth="true" hidden="false" outlineLevel="0" max="4" min="4" style="0" width="8"/>
    <col collapsed="false" customWidth="true" hidden="false" outlineLevel="0" max="5" min="5" style="0" width="22"/>
    <col collapsed="false" customWidth="true" hidden="false" outlineLevel="0" max="6" min="6" style="0" width="34"/>
    <col collapsed="false" customWidth="true" hidden="false" outlineLevel="0" max="7" min="7" style="0" width="13"/>
    <col collapsed="false" customWidth="true" hidden="false" outlineLevel="0" max="8" min="8" style="0" width="28"/>
    <col collapsed="false" customWidth="true" hidden="false" outlineLevel="0" max="10" min="9" style="0" width="10"/>
    <col collapsed="false" customWidth="true" hidden="false" outlineLevel="0" max="11" min="11" style="0" width="12"/>
    <col collapsed="false" customWidth="true" hidden="false" outlineLevel="0" max="12" min="12" style="0" width="24"/>
    <col collapsed="false" customWidth="true" hidden="false" outlineLevel="0" max="13" min="13" style="0" width="46"/>
  </cols>
  <sheetData>
    <row r="1" customFormat="false" ht="30" hidden="false" customHeight="true" outlineLevel="0" collapsed="false">
      <c r="A1" s="14" t="s">
        <v>21</v>
      </c>
      <c r="B1" s="14" t="s">
        <v>23</v>
      </c>
      <c r="C1" s="14" t="s">
        <v>51</v>
      </c>
      <c r="D1" s="14" t="s">
        <v>52</v>
      </c>
      <c r="E1" s="14" t="s">
        <v>53</v>
      </c>
      <c r="F1" s="14" t="s">
        <v>54</v>
      </c>
      <c r="G1" s="14" t="s">
        <v>25</v>
      </c>
      <c r="H1" s="14" t="s">
        <v>55</v>
      </c>
      <c r="I1" s="14" t="s">
        <v>56</v>
      </c>
      <c r="J1" s="14" t="s">
        <v>57</v>
      </c>
      <c r="K1" s="14" t="s">
        <v>27</v>
      </c>
      <c r="L1" s="14" t="s">
        <v>28</v>
      </c>
      <c r="M1" s="14" t="s">
        <v>16</v>
      </c>
    </row>
    <row r="2" customFormat="false" ht="25.5" hidden="false" customHeight="true" outlineLevel="0" collapsed="false">
      <c r="A2" s="15" t="s">
        <v>58</v>
      </c>
      <c r="B2" s="16" t="s">
        <v>59</v>
      </c>
      <c r="C2" s="17" t="n">
        <v>24</v>
      </c>
      <c r="D2" s="15" t="n">
        <v>15</v>
      </c>
      <c r="E2" s="15" t="s">
        <v>60</v>
      </c>
      <c r="F2" s="16" t="s">
        <v>61</v>
      </c>
      <c r="G2" s="18" t="s">
        <v>26</v>
      </c>
      <c r="H2" s="15" t="s">
        <v>62</v>
      </c>
      <c r="I2" s="15"/>
      <c r="J2" s="15"/>
      <c r="K2" s="19" t="s">
        <v>8</v>
      </c>
      <c r="L2" s="19"/>
      <c r="M2" s="20"/>
    </row>
    <row r="3" customFormat="false" ht="25.5" hidden="false" customHeight="true" outlineLevel="0" collapsed="false">
      <c r="A3" s="15" t="s">
        <v>22</v>
      </c>
      <c r="B3" s="16" t="s">
        <v>24</v>
      </c>
      <c r="C3" s="17" t="n">
        <v>21</v>
      </c>
      <c r="D3" s="15" t="n">
        <v>15</v>
      </c>
      <c r="E3" s="15" t="s">
        <v>60</v>
      </c>
      <c r="F3" s="16" t="s">
        <v>61</v>
      </c>
      <c r="G3" s="18" t="s">
        <v>26</v>
      </c>
      <c r="H3" s="15" t="s">
        <v>62</v>
      </c>
      <c r="I3" s="15"/>
      <c r="J3" s="15"/>
      <c r="K3" s="19" t="s">
        <v>8</v>
      </c>
      <c r="L3" s="19"/>
      <c r="M3" s="20"/>
    </row>
    <row r="4" customFormat="false" ht="25.5" hidden="false" customHeight="true" outlineLevel="0" collapsed="false">
      <c r="A4" s="15" t="s">
        <v>63</v>
      </c>
      <c r="B4" s="16" t="s">
        <v>64</v>
      </c>
      <c r="C4" s="17" t="n">
        <v>7</v>
      </c>
      <c r="D4" s="15" t="n">
        <v>7</v>
      </c>
      <c r="E4" s="15" t="s">
        <v>60</v>
      </c>
      <c r="F4" s="16" t="s">
        <v>65</v>
      </c>
      <c r="G4" s="18" t="s">
        <v>26</v>
      </c>
      <c r="H4" s="15" t="s">
        <v>62</v>
      </c>
      <c r="I4" s="15"/>
      <c r="J4" s="15"/>
      <c r="K4" s="19" t="s">
        <v>8</v>
      </c>
      <c r="L4" s="19"/>
      <c r="M4" s="20"/>
    </row>
    <row r="5" customFormat="false" ht="25.5" hidden="false" customHeight="true" outlineLevel="0" collapsed="false">
      <c r="A5" s="15" t="s">
        <v>66</v>
      </c>
      <c r="B5" s="16" t="s">
        <v>67</v>
      </c>
      <c r="C5" s="17" t="n">
        <v>7</v>
      </c>
      <c r="D5" s="15" t="n">
        <v>7</v>
      </c>
      <c r="E5" s="15" t="s">
        <v>68</v>
      </c>
      <c r="F5" s="16" t="s">
        <v>69</v>
      </c>
      <c r="G5" s="18" t="s">
        <v>26</v>
      </c>
      <c r="H5" s="15" t="s">
        <v>62</v>
      </c>
      <c r="I5" s="15"/>
      <c r="J5" s="15"/>
      <c r="K5" s="19" t="s">
        <v>6</v>
      </c>
      <c r="L5" s="19"/>
      <c r="M5" s="20"/>
    </row>
    <row r="6" customFormat="false" ht="25.5" hidden="false" customHeight="true" outlineLevel="0" collapsed="false">
      <c r="A6" s="15" t="s">
        <v>70</v>
      </c>
      <c r="B6" s="16" t="s">
        <v>71</v>
      </c>
      <c r="C6" s="17" t="n">
        <v>3</v>
      </c>
      <c r="D6" s="15" t="n">
        <v>3</v>
      </c>
      <c r="E6" s="15" t="s">
        <v>68</v>
      </c>
      <c r="F6" s="16" t="s">
        <v>65</v>
      </c>
      <c r="G6" s="18" t="s">
        <v>26</v>
      </c>
      <c r="H6" s="15" t="s">
        <v>62</v>
      </c>
      <c r="I6" s="15"/>
      <c r="J6" s="15"/>
      <c r="K6" s="19" t="s">
        <v>8</v>
      </c>
      <c r="L6" s="19"/>
      <c r="M6" s="20"/>
    </row>
    <row r="7" customFormat="false" ht="25.5" hidden="false" customHeight="true" outlineLevel="0" collapsed="false">
      <c r="A7" s="15" t="s">
        <v>72</v>
      </c>
      <c r="B7" s="16" t="s">
        <v>73</v>
      </c>
      <c r="C7" s="17" t="n">
        <v>2</v>
      </c>
      <c r="D7" s="15" t="n">
        <v>2</v>
      </c>
      <c r="E7" s="15" t="s">
        <v>68</v>
      </c>
      <c r="F7" s="16" t="s">
        <v>74</v>
      </c>
      <c r="G7" s="18" t="s">
        <v>26</v>
      </c>
      <c r="H7" s="15" t="s">
        <v>62</v>
      </c>
      <c r="I7" s="15"/>
      <c r="J7" s="15"/>
      <c r="K7" s="19" t="s">
        <v>6</v>
      </c>
      <c r="L7" s="19"/>
      <c r="M7" s="20"/>
    </row>
    <row r="8" customFormat="false" ht="25.5" hidden="false" customHeight="true" outlineLevel="0" collapsed="false">
      <c r="A8" s="15" t="s">
        <v>75</v>
      </c>
      <c r="B8" s="16" t="s">
        <v>76</v>
      </c>
      <c r="C8" s="17" t="n">
        <v>2</v>
      </c>
      <c r="D8" s="15" t="n">
        <v>2</v>
      </c>
      <c r="E8" s="15" t="s">
        <v>68</v>
      </c>
      <c r="F8" s="16" t="s">
        <v>74</v>
      </c>
      <c r="G8" s="18" t="s">
        <v>26</v>
      </c>
      <c r="H8" s="15" t="s">
        <v>62</v>
      </c>
      <c r="I8" s="15"/>
      <c r="J8" s="15"/>
      <c r="K8" s="19" t="s">
        <v>8</v>
      </c>
      <c r="L8" s="19"/>
      <c r="M8" s="20"/>
    </row>
    <row r="9" customFormat="false" ht="25.5" hidden="false" customHeight="true" outlineLevel="0" collapsed="false">
      <c r="A9" s="15" t="s">
        <v>77</v>
      </c>
      <c r="B9" s="16" t="s">
        <v>78</v>
      </c>
      <c r="C9" s="17" t="n">
        <v>1</v>
      </c>
      <c r="D9" s="15" t="n">
        <v>1</v>
      </c>
      <c r="E9" s="15" t="s">
        <v>68</v>
      </c>
      <c r="F9" s="16" t="s">
        <v>79</v>
      </c>
      <c r="G9" s="18" t="s">
        <v>26</v>
      </c>
      <c r="H9" s="15" t="s">
        <v>62</v>
      </c>
      <c r="I9" s="15"/>
      <c r="J9" s="15"/>
      <c r="K9" s="19" t="s">
        <v>8</v>
      </c>
      <c r="L9" s="19"/>
      <c r="M9" s="20"/>
    </row>
    <row r="10" customFormat="false" ht="25.5" hidden="false" customHeight="true" outlineLevel="0" collapsed="false">
      <c r="A10" s="15" t="s">
        <v>80</v>
      </c>
      <c r="B10" s="16" t="s">
        <v>81</v>
      </c>
      <c r="C10" s="17" t="n">
        <v>1</v>
      </c>
      <c r="D10" s="15" t="n">
        <v>1</v>
      </c>
      <c r="E10" s="15" t="s">
        <v>68</v>
      </c>
      <c r="F10" s="16" t="s">
        <v>82</v>
      </c>
      <c r="G10" s="18" t="s">
        <v>26</v>
      </c>
      <c r="H10" s="15" t="s">
        <v>62</v>
      </c>
      <c r="I10" s="15"/>
      <c r="J10" s="15"/>
      <c r="K10" s="19" t="s">
        <v>6</v>
      </c>
      <c r="L10" s="19"/>
      <c r="M10" s="20"/>
    </row>
    <row r="11" customFormat="false" ht="25.5" hidden="false" customHeight="true" outlineLevel="0" collapsed="false">
      <c r="A11" s="15" t="s">
        <v>83</v>
      </c>
      <c r="B11" s="16" t="s">
        <v>84</v>
      </c>
      <c r="C11" s="17" t="n">
        <v>1</v>
      </c>
      <c r="D11" s="15" t="n">
        <v>1</v>
      </c>
      <c r="E11" s="15" t="s">
        <v>68</v>
      </c>
      <c r="F11" s="16" t="s">
        <v>85</v>
      </c>
      <c r="G11" s="18" t="s">
        <v>26</v>
      </c>
      <c r="H11" s="15" t="s">
        <v>62</v>
      </c>
      <c r="I11" s="15"/>
      <c r="J11" s="15"/>
      <c r="K11" s="19" t="s">
        <v>6</v>
      </c>
      <c r="L11" s="19"/>
      <c r="M11" s="20"/>
    </row>
    <row r="12" customFormat="false" ht="25.5" hidden="false" customHeight="true" outlineLevel="0" collapsed="false">
      <c r="A12" s="15" t="s">
        <v>86</v>
      </c>
      <c r="B12" s="16" t="s">
        <v>87</v>
      </c>
      <c r="C12" s="17" t="n">
        <v>1</v>
      </c>
      <c r="D12" s="15" t="n">
        <v>1</v>
      </c>
      <c r="E12" s="15" t="s">
        <v>68</v>
      </c>
      <c r="F12" s="16" t="s">
        <v>88</v>
      </c>
      <c r="G12" s="18" t="s">
        <v>26</v>
      </c>
      <c r="H12" s="15" t="s">
        <v>62</v>
      </c>
      <c r="I12" s="15"/>
      <c r="J12" s="15"/>
      <c r="K12" s="19" t="s">
        <v>8</v>
      </c>
      <c r="L12" s="19"/>
      <c r="M12" s="20"/>
    </row>
    <row r="13" customFormat="false" ht="25.5" hidden="false" customHeight="true" outlineLevel="0" collapsed="false">
      <c r="A13" s="15" t="s">
        <v>89</v>
      </c>
      <c r="B13" s="16" t="s">
        <v>90</v>
      </c>
      <c r="C13" s="17" t="n">
        <v>1</v>
      </c>
      <c r="D13" s="15" t="n">
        <v>1</v>
      </c>
      <c r="E13" s="15" t="s">
        <v>68</v>
      </c>
      <c r="F13" s="16" t="s">
        <v>91</v>
      </c>
      <c r="G13" s="18" t="s">
        <v>26</v>
      </c>
      <c r="H13" s="15" t="s">
        <v>62</v>
      </c>
      <c r="I13" s="15"/>
      <c r="J13" s="15"/>
      <c r="K13" s="19" t="s">
        <v>6</v>
      </c>
      <c r="L13" s="19"/>
      <c r="M13" s="20"/>
    </row>
    <row r="14" customFormat="false" ht="25.5" hidden="false" customHeight="true" outlineLevel="0" collapsed="false">
      <c r="A14" s="15" t="s">
        <v>92</v>
      </c>
      <c r="B14" s="16" t="s">
        <v>93</v>
      </c>
      <c r="C14" s="17" t="n">
        <v>1</v>
      </c>
      <c r="D14" s="15" t="n">
        <v>1</v>
      </c>
      <c r="E14" s="15" t="s">
        <v>68</v>
      </c>
      <c r="F14" s="16" t="s">
        <v>79</v>
      </c>
      <c r="G14" s="18" t="s">
        <v>26</v>
      </c>
      <c r="H14" s="15" t="s">
        <v>62</v>
      </c>
      <c r="I14" s="15"/>
      <c r="J14" s="15"/>
      <c r="K14" s="19" t="s">
        <v>8</v>
      </c>
      <c r="L14" s="19"/>
      <c r="M14" s="20"/>
    </row>
    <row r="15" customFormat="false" ht="25.5" hidden="false" customHeight="true" outlineLevel="0" collapsed="false">
      <c r="A15" s="15" t="s">
        <v>94</v>
      </c>
      <c r="B15" s="16" t="s">
        <v>95</v>
      </c>
      <c r="C15" s="17" t="n">
        <v>41</v>
      </c>
      <c r="D15" s="15" t="n">
        <v>26</v>
      </c>
      <c r="E15" s="15" t="s">
        <v>60</v>
      </c>
      <c r="F15" s="16" t="s">
        <v>96</v>
      </c>
      <c r="G15" s="21" t="s">
        <v>97</v>
      </c>
      <c r="H15" s="15" t="s">
        <v>98</v>
      </c>
      <c r="I15" s="15"/>
      <c r="J15" s="15"/>
      <c r="K15" s="19"/>
      <c r="L15" s="19"/>
      <c r="M15" s="20"/>
    </row>
    <row r="16" customFormat="false" ht="25.5" hidden="false" customHeight="true" outlineLevel="0" collapsed="false">
      <c r="A16" s="15" t="s">
        <v>99</v>
      </c>
      <c r="B16" s="16" t="s">
        <v>100</v>
      </c>
      <c r="C16" s="17" t="n">
        <v>25</v>
      </c>
      <c r="D16" s="15" t="n">
        <v>15</v>
      </c>
      <c r="E16" s="15" t="s">
        <v>60</v>
      </c>
      <c r="F16" s="16" t="s">
        <v>61</v>
      </c>
      <c r="G16" s="21" t="s">
        <v>97</v>
      </c>
      <c r="H16" s="15" t="s">
        <v>98</v>
      </c>
      <c r="I16" s="15"/>
      <c r="J16" s="15"/>
      <c r="K16" s="19"/>
      <c r="L16" s="19"/>
      <c r="M16" s="20"/>
    </row>
    <row r="17" customFormat="false" ht="25.5" hidden="false" customHeight="true" outlineLevel="0" collapsed="false">
      <c r="A17" s="15" t="s">
        <v>101</v>
      </c>
      <c r="B17" s="16" t="s">
        <v>102</v>
      </c>
      <c r="C17" s="17" t="n">
        <v>25</v>
      </c>
      <c r="D17" s="15" t="n">
        <v>21</v>
      </c>
      <c r="E17" s="15" t="s">
        <v>60</v>
      </c>
      <c r="F17" s="16" t="s">
        <v>103</v>
      </c>
      <c r="G17" s="21" t="s">
        <v>97</v>
      </c>
      <c r="H17" s="15" t="s">
        <v>98</v>
      </c>
      <c r="I17" s="15"/>
      <c r="J17" s="15"/>
      <c r="K17" s="19"/>
      <c r="L17" s="19"/>
      <c r="M17" s="20"/>
    </row>
    <row r="18" customFormat="false" ht="25.5" hidden="false" customHeight="true" outlineLevel="0" collapsed="false">
      <c r="A18" s="15" t="s">
        <v>104</v>
      </c>
      <c r="B18" s="16" t="s">
        <v>105</v>
      </c>
      <c r="C18" s="17" t="n">
        <v>25</v>
      </c>
      <c r="D18" s="15" t="n">
        <v>21</v>
      </c>
      <c r="E18" s="15" t="s">
        <v>60</v>
      </c>
      <c r="F18" s="16" t="s">
        <v>103</v>
      </c>
      <c r="G18" s="21" t="s">
        <v>97</v>
      </c>
      <c r="H18" s="15" t="s">
        <v>98</v>
      </c>
      <c r="I18" s="15"/>
      <c r="J18" s="15"/>
      <c r="K18" s="19"/>
      <c r="L18" s="19"/>
      <c r="M18" s="20"/>
    </row>
    <row r="19" customFormat="false" ht="25.5" hidden="false" customHeight="true" outlineLevel="0" collapsed="false">
      <c r="A19" s="15" t="s">
        <v>106</v>
      </c>
      <c r="B19" s="16" t="s">
        <v>107</v>
      </c>
      <c r="C19" s="17" t="n">
        <v>25</v>
      </c>
      <c r="D19" s="15" t="n">
        <v>15</v>
      </c>
      <c r="E19" s="15" t="s">
        <v>60</v>
      </c>
      <c r="F19" s="16" t="s">
        <v>61</v>
      </c>
      <c r="G19" s="21" t="s">
        <v>97</v>
      </c>
      <c r="H19" s="15" t="s">
        <v>98</v>
      </c>
      <c r="I19" s="15"/>
      <c r="J19" s="15"/>
      <c r="K19" s="19"/>
      <c r="L19" s="19"/>
      <c r="M19" s="20"/>
    </row>
    <row r="20" customFormat="false" ht="25.5" hidden="false" customHeight="true" outlineLevel="0" collapsed="false">
      <c r="A20" s="15" t="s">
        <v>108</v>
      </c>
      <c r="B20" s="16" t="s">
        <v>109</v>
      </c>
      <c r="C20" s="17" t="n">
        <v>24</v>
      </c>
      <c r="D20" s="15" t="n">
        <v>15</v>
      </c>
      <c r="E20" s="15" t="s">
        <v>60</v>
      </c>
      <c r="F20" s="16" t="s">
        <v>61</v>
      </c>
      <c r="G20" s="21" t="s">
        <v>97</v>
      </c>
      <c r="H20" s="15" t="s">
        <v>98</v>
      </c>
      <c r="I20" s="15"/>
      <c r="J20" s="15"/>
      <c r="K20" s="19"/>
      <c r="L20" s="19"/>
      <c r="M20" s="20"/>
    </row>
    <row r="21" customFormat="false" ht="25.5" hidden="false" customHeight="true" outlineLevel="0" collapsed="false">
      <c r="A21" s="15" t="s">
        <v>110</v>
      </c>
      <c r="B21" s="16" t="s">
        <v>111</v>
      </c>
      <c r="C21" s="17" t="n">
        <v>22</v>
      </c>
      <c r="D21" s="15" t="n">
        <v>21</v>
      </c>
      <c r="E21" s="15" t="s">
        <v>68</v>
      </c>
      <c r="F21" s="16" t="s">
        <v>112</v>
      </c>
      <c r="G21" s="21" t="s">
        <v>97</v>
      </c>
      <c r="H21" s="15" t="s">
        <v>98</v>
      </c>
      <c r="I21" s="15"/>
      <c r="J21" s="15"/>
      <c r="K21" s="19"/>
      <c r="L21" s="19"/>
      <c r="M21" s="20"/>
    </row>
    <row r="22" customFormat="false" ht="25.5" hidden="false" customHeight="true" outlineLevel="0" collapsed="false">
      <c r="A22" s="15" t="s">
        <v>113</v>
      </c>
      <c r="B22" s="16" t="s">
        <v>114</v>
      </c>
      <c r="C22" s="17" t="n">
        <v>13</v>
      </c>
      <c r="D22" s="15" t="n">
        <v>13</v>
      </c>
      <c r="E22" s="15" t="s">
        <v>60</v>
      </c>
      <c r="F22" s="16" t="s">
        <v>115</v>
      </c>
      <c r="G22" s="21" t="s">
        <v>97</v>
      </c>
      <c r="H22" s="15" t="s">
        <v>98</v>
      </c>
      <c r="I22" s="15"/>
      <c r="J22" s="15"/>
      <c r="K22" s="19"/>
      <c r="L22" s="19"/>
      <c r="M22" s="20"/>
    </row>
    <row r="23" customFormat="false" ht="25.5" hidden="false" customHeight="true" outlineLevel="0" collapsed="false">
      <c r="A23" s="15" t="s">
        <v>116</v>
      </c>
      <c r="B23" s="16" t="s">
        <v>117</v>
      </c>
      <c r="C23" s="17" t="n">
        <v>13</v>
      </c>
      <c r="D23" s="15" t="n">
        <v>13</v>
      </c>
      <c r="E23" s="15" t="s">
        <v>60</v>
      </c>
      <c r="F23" s="16" t="s">
        <v>115</v>
      </c>
      <c r="G23" s="21" t="s">
        <v>97</v>
      </c>
      <c r="H23" s="15" t="s">
        <v>98</v>
      </c>
      <c r="I23" s="15"/>
      <c r="J23" s="15"/>
      <c r="K23" s="19"/>
      <c r="L23" s="19"/>
      <c r="M23" s="20"/>
    </row>
    <row r="24" customFormat="false" ht="25.5" hidden="false" customHeight="true" outlineLevel="0" collapsed="false">
      <c r="A24" s="15" t="s">
        <v>118</v>
      </c>
      <c r="B24" s="16" t="s">
        <v>119</v>
      </c>
      <c r="C24" s="17" t="n">
        <v>13</v>
      </c>
      <c r="D24" s="15" t="n">
        <v>13</v>
      </c>
      <c r="E24" s="15" t="s">
        <v>60</v>
      </c>
      <c r="F24" s="16" t="s">
        <v>115</v>
      </c>
      <c r="G24" s="21" t="s">
        <v>97</v>
      </c>
      <c r="H24" s="15" t="s">
        <v>98</v>
      </c>
      <c r="I24" s="15"/>
      <c r="J24" s="15"/>
      <c r="K24" s="19"/>
      <c r="L24" s="19"/>
      <c r="M24" s="20"/>
    </row>
    <row r="25" customFormat="false" ht="25.5" hidden="false" customHeight="true" outlineLevel="0" collapsed="false">
      <c r="A25" s="15" t="s">
        <v>120</v>
      </c>
      <c r="B25" s="16" t="s">
        <v>121</v>
      </c>
      <c r="C25" s="17" t="n">
        <v>7</v>
      </c>
      <c r="D25" s="15" t="n">
        <v>7</v>
      </c>
      <c r="E25" s="15" t="s">
        <v>60</v>
      </c>
      <c r="F25" s="16" t="s">
        <v>65</v>
      </c>
      <c r="G25" s="21" t="s">
        <v>97</v>
      </c>
      <c r="H25" s="15" t="s">
        <v>98</v>
      </c>
      <c r="I25" s="15"/>
      <c r="J25" s="15"/>
      <c r="K25" s="19"/>
      <c r="L25" s="19"/>
      <c r="M25" s="20"/>
    </row>
    <row r="26" customFormat="false" ht="25.5" hidden="false" customHeight="true" outlineLevel="0" collapsed="false">
      <c r="A26" s="15" t="s">
        <v>122</v>
      </c>
      <c r="B26" s="16" t="s">
        <v>123</v>
      </c>
      <c r="C26" s="17" t="n">
        <v>7</v>
      </c>
      <c r="D26" s="15" t="n">
        <v>7</v>
      </c>
      <c r="E26" s="15" t="s">
        <v>60</v>
      </c>
      <c r="F26" s="16" t="s">
        <v>65</v>
      </c>
      <c r="G26" s="21" t="s">
        <v>97</v>
      </c>
      <c r="H26" s="15" t="s">
        <v>98</v>
      </c>
      <c r="I26" s="15"/>
      <c r="J26" s="15"/>
      <c r="K26" s="19"/>
      <c r="L26" s="19"/>
      <c r="M26" s="20"/>
    </row>
    <row r="27" customFormat="false" ht="25.5" hidden="false" customHeight="true" outlineLevel="0" collapsed="false">
      <c r="A27" s="15" t="s">
        <v>124</v>
      </c>
      <c r="B27" s="16" t="s">
        <v>125</v>
      </c>
      <c r="C27" s="17" t="n">
        <v>7</v>
      </c>
      <c r="D27" s="15" t="n">
        <v>7</v>
      </c>
      <c r="E27" s="15" t="s">
        <v>60</v>
      </c>
      <c r="F27" s="16" t="s">
        <v>65</v>
      </c>
      <c r="G27" s="21" t="s">
        <v>97</v>
      </c>
      <c r="H27" s="15" t="s">
        <v>98</v>
      </c>
      <c r="I27" s="15"/>
      <c r="J27" s="15"/>
      <c r="K27" s="19"/>
      <c r="L27" s="19"/>
      <c r="M27" s="20"/>
    </row>
    <row r="28" customFormat="false" ht="25.5" hidden="false" customHeight="true" outlineLevel="0" collapsed="false">
      <c r="A28" s="15" t="s">
        <v>126</v>
      </c>
      <c r="B28" s="16" t="s">
        <v>127</v>
      </c>
      <c r="C28" s="17" t="n">
        <v>7</v>
      </c>
      <c r="D28" s="15" t="n">
        <v>7</v>
      </c>
      <c r="E28" s="15" t="s">
        <v>60</v>
      </c>
      <c r="F28" s="16" t="s">
        <v>65</v>
      </c>
      <c r="G28" s="21" t="s">
        <v>97</v>
      </c>
      <c r="H28" s="15" t="s">
        <v>98</v>
      </c>
      <c r="I28" s="15"/>
      <c r="J28" s="15"/>
      <c r="K28" s="19"/>
      <c r="L28" s="19"/>
      <c r="M28" s="20"/>
    </row>
    <row r="29" customFormat="false" ht="25.5" hidden="false" customHeight="true" outlineLevel="0" collapsed="false">
      <c r="A29" s="15" t="s">
        <v>128</v>
      </c>
      <c r="B29" s="16" t="s">
        <v>129</v>
      </c>
      <c r="C29" s="17" t="n">
        <v>7</v>
      </c>
      <c r="D29" s="15" t="n">
        <v>7</v>
      </c>
      <c r="E29" s="15" t="s">
        <v>68</v>
      </c>
      <c r="F29" s="16" t="s">
        <v>69</v>
      </c>
      <c r="G29" s="21" t="s">
        <v>97</v>
      </c>
      <c r="H29" s="15" t="s">
        <v>98</v>
      </c>
      <c r="I29" s="15"/>
      <c r="J29" s="15"/>
      <c r="K29" s="19"/>
      <c r="L29" s="19"/>
      <c r="M29" s="20"/>
    </row>
    <row r="30" customFormat="false" ht="25.5" hidden="false" customHeight="true" outlineLevel="0" collapsed="false">
      <c r="A30" s="15" t="s">
        <v>130</v>
      </c>
      <c r="B30" s="16" t="s">
        <v>131</v>
      </c>
      <c r="C30" s="17" t="n">
        <v>3</v>
      </c>
      <c r="D30" s="15" t="n">
        <v>3</v>
      </c>
      <c r="E30" s="15" t="s">
        <v>68</v>
      </c>
      <c r="F30" s="16" t="s">
        <v>65</v>
      </c>
      <c r="G30" s="21" t="s">
        <v>97</v>
      </c>
      <c r="H30" s="15" t="s">
        <v>98</v>
      </c>
      <c r="I30" s="15"/>
      <c r="J30" s="15"/>
      <c r="K30" s="19"/>
      <c r="L30" s="19"/>
      <c r="M30" s="20"/>
    </row>
    <row r="31" customFormat="false" ht="25.5" hidden="false" customHeight="true" outlineLevel="0" collapsed="false">
      <c r="A31" s="15" t="s">
        <v>132</v>
      </c>
      <c r="B31" s="16" t="s">
        <v>133</v>
      </c>
      <c r="C31" s="17" t="n">
        <v>3</v>
      </c>
      <c r="D31" s="15" t="n">
        <v>3</v>
      </c>
      <c r="E31" s="15" t="s">
        <v>68</v>
      </c>
      <c r="F31" s="16" t="s">
        <v>134</v>
      </c>
      <c r="G31" s="21" t="s">
        <v>97</v>
      </c>
      <c r="H31" s="15" t="s">
        <v>98</v>
      </c>
      <c r="I31" s="15"/>
      <c r="J31" s="15"/>
      <c r="K31" s="19"/>
      <c r="L31" s="19"/>
      <c r="M31" s="20"/>
    </row>
    <row r="32" customFormat="false" ht="25.5" hidden="false" customHeight="true" outlineLevel="0" collapsed="false">
      <c r="A32" s="15" t="s">
        <v>135</v>
      </c>
      <c r="B32" s="16" t="s">
        <v>136</v>
      </c>
      <c r="C32" s="17" t="n">
        <v>3</v>
      </c>
      <c r="D32" s="15" t="n">
        <v>3</v>
      </c>
      <c r="E32" s="15" t="s">
        <v>68</v>
      </c>
      <c r="F32" s="16" t="s">
        <v>69</v>
      </c>
      <c r="G32" s="21" t="s">
        <v>97</v>
      </c>
      <c r="H32" s="15" t="s">
        <v>98</v>
      </c>
      <c r="I32" s="15"/>
      <c r="J32" s="15"/>
      <c r="K32" s="19"/>
      <c r="L32" s="19"/>
      <c r="M32" s="20"/>
    </row>
    <row r="33" customFormat="false" ht="25.5" hidden="false" customHeight="true" outlineLevel="0" collapsed="false">
      <c r="A33" s="15" t="s">
        <v>137</v>
      </c>
      <c r="B33" s="16" t="s">
        <v>138</v>
      </c>
      <c r="C33" s="17" t="n">
        <v>2</v>
      </c>
      <c r="D33" s="15" t="n">
        <v>2</v>
      </c>
      <c r="E33" s="15" t="s">
        <v>68</v>
      </c>
      <c r="F33" s="16" t="s">
        <v>74</v>
      </c>
      <c r="G33" s="21" t="s">
        <v>97</v>
      </c>
      <c r="H33" s="15" t="s">
        <v>98</v>
      </c>
      <c r="I33" s="15"/>
      <c r="J33" s="15"/>
      <c r="K33" s="19"/>
      <c r="L33" s="19"/>
      <c r="M33" s="20"/>
    </row>
    <row r="34" customFormat="false" ht="25.5" hidden="false" customHeight="true" outlineLevel="0" collapsed="false">
      <c r="A34" s="15" t="s">
        <v>139</v>
      </c>
      <c r="B34" s="16" t="s">
        <v>140</v>
      </c>
      <c r="C34" s="17" t="n">
        <v>2</v>
      </c>
      <c r="D34" s="15" t="n">
        <v>2</v>
      </c>
      <c r="E34" s="15" t="s">
        <v>68</v>
      </c>
      <c r="F34" s="16" t="s">
        <v>74</v>
      </c>
      <c r="G34" s="21" t="s">
        <v>97</v>
      </c>
      <c r="H34" s="15" t="s">
        <v>98</v>
      </c>
      <c r="I34" s="15"/>
      <c r="J34" s="15"/>
      <c r="K34" s="19"/>
      <c r="L34" s="19"/>
      <c r="M34" s="20"/>
    </row>
    <row r="35" customFormat="false" ht="25.5" hidden="false" customHeight="true" outlineLevel="0" collapsed="false">
      <c r="A35" s="15" t="s">
        <v>141</v>
      </c>
      <c r="B35" s="16" t="s">
        <v>142</v>
      </c>
      <c r="C35" s="17" t="n">
        <v>2</v>
      </c>
      <c r="D35" s="15" t="n">
        <v>2</v>
      </c>
      <c r="E35" s="15" t="s">
        <v>60</v>
      </c>
      <c r="F35" s="16" t="s">
        <v>65</v>
      </c>
      <c r="G35" s="21" t="s">
        <v>97</v>
      </c>
      <c r="H35" s="15" t="s">
        <v>98</v>
      </c>
      <c r="I35" s="15"/>
      <c r="J35" s="15"/>
      <c r="K35" s="19"/>
      <c r="L35" s="19"/>
      <c r="M35" s="20"/>
    </row>
    <row r="36" customFormat="false" ht="25.5" hidden="false" customHeight="true" outlineLevel="0" collapsed="false">
      <c r="A36" s="15" t="s">
        <v>143</v>
      </c>
      <c r="B36" s="16" t="s">
        <v>144</v>
      </c>
      <c r="C36" s="17" t="n">
        <v>2</v>
      </c>
      <c r="D36" s="15" t="n">
        <v>2</v>
      </c>
      <c r="E36" s="15" t="s">
        <v>68</v>
      </c>
      <c r="F36" s="16" t="s">
        <v>145</v>
      </c>
      <c r="G36" s="21" t="s">
        <v>97</v>
      </c>
      <c r="H36" s="15" t="s">
        <v>98</v>
      </c>
      <c r="I36" s="15"/>
      <c r="J36" s="15"/>
      <c r="K36" s="19"/>
      <c r="L36" s="19"/>
      <c r="M36" s="20"/>
    </row>
    <row r="37" customFormat="false" ht="25.5" hidden="false" customHeight="true" outlineLevel="0" collapsed="false">
      <c r="A37" s="15" t="s">
        <v>146</v>
      </c>
      <c r="B37" s="16" t="s">
        <v>147</v>
      </c>
      <c r="C37" s="17" t="n">
        <v>2</v>
      </c>
      <c r="D37" s="15" t="n">
        <v>2</v>
      </c>
      <c r="E37" s="15" t="s">
        <v>68</v>
      </c>
      <c r="F37" s="16" t="s">
        <v>148</v>
      </c>
      <c r="G37" s="21" t="s">
        <v>97</v>
      </c>
      <c r="H37" s="15" t="s">
        <v>98</v>
      </c>
      <c r="I37" s="15"/>
      <c r="J37" s="15"/>
      <c r="K37" s="19"/>
      <c r="L37" s="19"/>
      <c r="M37" s="20"/>
    </row>
    <row r="38" customFormat="false" ht="25.5" hidden="false" customHeight="true" outlineLevel="0" collapsed="false">
      <c r="A38" s="15" t="s">
        <v>149</v>
      </c>
      <c r="B38" s="16" t="s">
        <v>150</v>
      </c>
      <c r="C38" s="17" t="n">
        <v>2</v>
      </c>
      <c r="D38" s="15" t="n">
        <v>2</v>
      </c>
      <c r="E38" s="15" t="s">
        <v>68</v>
      </c>
      <c r="F38" s="16" t="s">
        <v>79</v>
      </c>
      <c r="G38" s="21" t="s">
        <v>97</v>
      </c>
      <c r="H38" s="15" t="s">
        <v>98</v>
      </c>
      <c r="I38" s="15"/>
      <c r="J38" s="15"/>
      <c r="K38" s="19"/>
      <c r="L38" s="19"/>
      <c r="M38" s="20"/>
    </row>
    <row r="39" customFormat="false" ht="25.5" hidden="false" customHeight="true" outlineLevel="0" collapsed="false">
      <c r="A39" s="15" t="s">
        <v>151</v>
      </c>
      <c r="B39" s="16" t="s">
        <v>152</v>
      </c>
      <c r="C39" s="17" t="n">
        <v>2</v>
      </c>
      <c r="D39" s="15" t="n">
        <v>2</v>
      </c>
      <c r="E39" s="15" t="s">
        <v>68</v>
      </c>
      <c r="F39" s="16" t="s">
        <v>74</v>
      </c>
      <c r="G39" s="21" t="s">
        <v>97</v>
      </c>
      <c r="H39" s="15" t="s">
        <v>98</v>
      </c>
      <c r="I39" s="15"/>
      <c r="J39" s="15"/>
      <c r="K39" s="19"/>
      <c r="L39" s="19"/>
      <c r="M39" s="20"/>
    </row>
    <row r="40" customFormat="false" ht="25.5" hidden="false" customHeight="true" outlineLevel="0" collapsed="false">
      <c r="A40" s="15" t="s">
        <v>153</v>
      </c>
      <c r="B40" s="16" t="s">
        <v>154</v>
      </c>
      <c r="C40" s="17" t="n">
        <v>1</v>
      </c>
      <c r="D40" s="15" t="n">
        <v>1</v>
      </c>
      <c r="E40" s="15" t="s">
        <v>68</v>
      </c>
      <c r="F40" s="16" t="s">
        <v>155</v>
      </c>
      <c r="G40" s="21" t="s">
        <v>97</v>
      </c>
      <c r="H40" s="15" t="s">
        <v>98</v>
      </c>
      <c r="I40" s="15"/>
      <c r="J40" s="15"/>
      <c r="K40" s="19"/>
      <c r="L40" s="19"/>
      <c r="M40" s="20"/>
    </row>
    <row r="41" customFormat="false" ht="25.5" hidden="false" customHeight="true" outlineLevel="0" collapsed="false">
      <c r="A41" s="15" t="s">
        <v>156</v>
      </c>
      <c r="B41" s="16" t="s">
        <v>157</v>
      </c>
      <c r="C41" s="17" t="n">
        <v>1</v>
      </c>
      <c r="D41" s="15" t="n">
        <v>1</v>
      </c>
      <c r="E41" s="15" t="s">
        <v>68</v>
      </c>
      <c r="F41" s="16" t="s">
        <v>82</v>
      </c>
      <c r="G41" s="21" t="s">
        <v>97</v>
      </c>
      <c r="H41" s="15" t="s">
        <v>98</v>
      </c>
      <c r="I41" s="15"/>
      <c r="J41" s="15"/>
      <c r="K41" s="19"/>
      <c r="L41" s="19"/>
      <c r="M41" s="20"/>
    </row>
    <row r="42" customFormat="false" ht="25.5" hidden="false" customHeight="true" outlineLevel="0" collapsed="false">
      <c r="A42" s="15" t="s">
        <v>158</v>
      </c>
      <c r="B42" s="16" t="s">
        <v>159</v>
      </c>
      <c r="C42" s="17" t="n">
        <v>1</v>
      </c>
      <c r="D42" s="15" t="n">
        <v>1</v>
      </c>
      <c r="E42" s="15" t="s">
        <v>68</v>
      </c>
      <c r="F42" s="16" t="s">
        <v>160</v>
      </c>
      <c r="G42" s="21" t="s">
        <v>97</v>
      </c>
      <c r="H42" s="15" t="s">
        <v>98</v>
      </c>
      <c r="I42" s="15"/>
      <c r="J42" s="15"/>
      <c r="K42" s="19"/>
      <c r="L42" s="19"/>
      <c r="M42" s="20"/>
    </row>
    <row r="43" customFormat="false" ht="25.5" hidden="false" customHeight="true" outlineLevel="0" collapsed="false">
      <c r="A43" s="15" t="s">
        <v>161</v>
      </c>
      <c r="B43" s="16" t="s">
        <v>162</v>
      </c>
      <c r="C43" s="17" t="n">
        <v>1</v>
      </c>
      <c r="D43" s="15" t="n">
        <v>1</v>
      </c>
      <c r="E43" s="15" t="s">
        <v>68</v>
      </c>
      <c r="F43" s="16" t="s">
        <v>163</v>
      </c>
      <c r="G43" s="21" t="s">
        <v>97</v>
      </c>
      <c r="H43" s="15" t="s">
        <v>98</v>
      </c>
      <c r="I43" s="15"/>
      <c r="J43" s="15"/>
      <c r="K43" s="19"/>
      <c r="L43" s="19"/>
      <c r="M43" s="20"/>
    </row>
    <row r="44" customFormat="false" ht="25.5" hidden="false" customHeight="true" outlineLevel="0" collapsed="false">
      <c r="A44" s="15" t="s">
        <v>164</v>
      </c>
      <c r="B44" s="16" t="s">
        <v>165</v>
      </c>
      <c r="C44" s="17" t="n">
        <v>1</v>
      </c>
      <c r="D44" s="15" t="n">
        <v>1</v>
      </c>
      <c r="E44" s="15" t="s">
        <v>68</v>
      </c>
      <c r="F44" s="16" t="s">
        <v>166</v>
      </c>
      <c r="G44" s="21" t="s">
        <v>97</v>
      </c>
      <c r="H44" s="15" t="s">
        <v>98</v>
      </c>
      <c r="I44" s="15"/>
      <c r="J44" s="15"/>
      <c r="K44" s="19"/>
      <c r="L44" s="19"/>
      <c r="M44" s="20"/>
    </row>
    <row r="45" customFormat="false" ht="25.5" hidden="false" customHeight="true" outlineLevel="0" collapsed="false">
      <c r="A45" s="15" t="s">
        <v>167</v>
      </c>
      <c r="B45" s="16" t="s">
        <v>168</v>
      </c>
      <c r="C45" s="17" t="n">
        <v>1</v>
      </c>
      <c r="D45" s="15" t="n">
        <v>1</v>
      </c>
      <c r="E45" s="15" t="s">
        <v>68</v>
      </c>
      <c r="F45" s="16" t="s">
        <v>169</v>
      </c>
      <c r="G45" s="21" t="s">
        <v>97</v>
      </c>
      <c r="H45" s="15" t="s">
        <v>98</v>
      </c>
      <c r="I45" s="15"/>
      <c r="J45" s="15"/>
      <c r="K45" s="19"/>
      <c r="L45" s="19"/>
      <c r="M45" s="20"/>
    </row>
    <row r="46" customFormat="false" ht="25.5" hidden="false" customHeight="true" outlineLevel="0" collapsed="false">
      <c r="A46" s="15" t="s">
        <v>170</v>
      </c>
      <c r="B46" s="16" t="s">
        <v>171</v>
      </c>
      <c r="C46" s="17" t="n">
        <v>51</v>
      </c>
      <c r="D46" s="15" t="n">
        <v>31</v>
      </c>
      <c r="E46" s="15" t="s">
        <v>60</v>
      </c>
      <c r="F46" s="16" t="s">
        <v>172</v>
      </c>
      <c r="G46" s="22" t="s">
        <v>173</v>
      </c>
      <c r="H46" s="15" t="s">
        <v>174</v>
      </c>
      <c r="I46" s="15" t="s">
        <v>175</v>
      </c>
      <c r="J46" s="15" t="s">
        <v>176</v>
      </c>
      <c r="K46" s="19"/>
      <c r="L46" s="19"/>
      <c r="M46" s="20"/>
    </row>
    <row r="47" customFormat="false" ht="25.5" hidden="false" customHeight="true" outlineLevel="0" collapsed="false">
      <c r="A47" s="15" t="s">
        <v>177</v>
      </c>
      <c r="B47" s="16" t="s">
        <v>178</v>
      </c>
      <c r="C47" s="17" t="n">
        <v>41</v>
      </c>
      <c r="D47" s="15" t="n">
        <v>27</v>
      </c>
      <c r="E47" s="15" t="s">
        <v>60</v>
      </c>
      <c r="F47" s="16" t="s">
        <v>179</v>
      </c>
      <c r="G47" s="22" t="s">
        <v>173</v>
      </c>
      <c r="H47" s="15" t="s">
        <v>180</v>
      </c>
      <c r="I47" s="15" t="s">
        <v>181</v>
      </c>
      <c r="J47" s="15" t="s">
        <v>182</v>
      </c>
      <c r="K47" s="19"/>
      <c r="L47" s="19"/>
      <c r="M47" s="20"/>
    </row>
    <row r="48" customFormat="false" ht="25.5" hidden="false" customHeight="true" outlineLevel="0" collapsed="false">
      <c r="A48" s="15" t="s">
        <v>183</v>
      </c>
      <c r="B48" s="16" t="s">
        <v>184</v>
      </c>
      <c r="C48" s="17" t="n">
        <v>34</v>
      </c>
      <c r="D48" s="15" t="n">
        <v>23</v>
      </c>
      <c r="E48" s="15" t="s">
        <v>60</v>
      </c>
      <c r="F48" s="16" t="s">
        <v>96</v>
      </c>
      <c r="G48" s="22" t="s">
        <v>173</v>
      </c>
      <c r="H48" s="15" t="s">
        <v>185</v>
      </c>
      <c r="I48" s="15" t="s">
        <v>181</v>
      </c>
      <c r="J48" s="15" t="s">
        <v>186</v>
      </c>
      <c r="K48" s="19"/>
      <c r="L48" s="19"/>
      <c r="M48" s="20"/>
    </row>
    <row r="49" customFormat="false" ht="25.5" hidden="false" customHeight="true" outlineLevel="0" collapsed="false">
      <c r="A49" s="15" t="s">
        <v>187</v>
      </c>
      <c r="B49" s="16" t="s">
        <v>188</v>
      </c>
      <c r="C49" s="17" t="n">
        <v>28</v>
      </c>
      <c r="D49" s="15" t="n">
        <v>21</v>
      </c>
      <c r="E49" s="15" t="s">
        <v>60</v>
      </c>
      <c r="F49" s="16" t="s">
        <v>172</v>
      </c>
      <c r="G49" s="22" t="s">
        <v>173</v>
      </c>
      <c r="H49" s="15" t="s">
        <v>189</v>
      </c>
      <c r="I49" s="15" t="s">
        <v>190</v>
      </c>
      <c r="J49" s="15" t="s">
        <v>176</v>
      </c>
      <c r="K49" s="19"/>
      <c r="L49" s="19"/>
      <c r="M49" s="20"/>
    </row>
    <row r="50" customFormat="false" ht="25.5" hidden="false" customHeight="true" outlineLevel="0" collapsed="false">
      <c r="A50" s="15" t="s">
        <v>191</v>
      </c>
      <c r="B50" s="16" t="s">
        <v>192</v>
      </c>
      <c r="C50" s="17" t="n">
        <v>24</v>
      </c>
      <c r="D50" s="15" t="n">
        <v>15</v>
      </c>
      <c r="E50" s="15" t="s">
        <v>60</v>
      </c>
      <c r="F50" s="16" t="s">
        <v>61</v>
      </c>
      <c r="G50" s="22" t="s">
        <v>173</v>
      </c>
      <c r="H50" s="15" t="s">
        <v>193</v>
      </c>
      <c r="I50" s="15" t="s">
        <v>181</v>
      </c>
      <c r="J50" s="15" t="s">
        <v>176</v>
      </c>
      <c r="K50" s="19"/>
      <c r="L50" s="19"/>
      <c r="M50" s="20"/>
    </row>
    <row r="51" customFormat="false" ht="25.5" hidden="false" customHeight="true" outlineLevel="0" collapsed="false">
      <c r="A51" s="15" t="s">
        <v>194</v>
      </c>
      <c r="B51" s="16" t="s">
        <v>195</v>
      </c>
      <c r="C51" s="17" t="n">
        <v>24</v>
      </c>
      <c r="D51" s="15" t="n">
        <v>15</v>
      </c>
      <c r="E51" s="15" t="s">
        <v>60</v>
      </c>
      <c r="F51" s="16" t="s">
        <v>61</v>
      </c>
      <c r="G51" s="22" t="s">
        <v>173</v>
      </c>
      <c r="H51" s="15" t="s">
        <v>196</v>
      </c>
      <c r="I51" s="15" t="s">
        <v>197</v>
      </c>
      <c r="J51" s="15" t="s">
        <v>186</v>
      </c>
      <c r="K51" s="19"/>
      <c r="L51" s="19"/>
      <c r="M51" s="20"/>
    </row>
    <row r="52" customFormat="false" ht="25.5" hidden="false" customHeight="true" outlineLevel="0" collapsed="false">
      <c r="A52" s="15" t="s">
        <v>198</v>
      </c>
      <c r="B52" s="16" t="s">
        <v>199</v>
      </c>
      <c r="C52" s="17" t="n">
        <v>23</v>
      </c>
      <c r="D52" s="15" t="n">
        <v>22</v>
      </c>
      <c r="E52" s="15" t="s">
        <v>60</v>
      </c>
      <c r="F52" s="16" t="s">
        <v>112</v>
      </c>
      <c r="G52" s="22" t="s">
        <v>173</v>
      </c>
      <c r="H52" s="15" t="s">
        <v>200</v>
      </c>
      <c r="I52" s="15" t="s">
        <v>181</v>
      </c>
      <c r="J52" s="15" t="s">
        <v>186</v>
      </c>
      <c r="K52" s="19"/>
      <c r="L52" s="19"/>
      <c r="M52" s="20"/>
    </row>
    <row r="53" customFormat="false" ht="25.5" hidden="false" customHeight="true" outlineLevel="0" collapsed="false">
      <c r="A53" s="15" t="s">
        <v>201</v>
      </c>
      <c r="B53" s="16" t="s">
        <v>202</v>
      </c>
      <c r="C53" s="17" t="n">
        <v>22</v>
      </c>
      <c r="D53" s="15" t="n">
        <v>19</v>
      </c>
      <c r="E53" s="15" t="s">
        <v>60</v>
      </c>
      <c r="F53" s="16" t="s">
        <v>203</v>
      </c>
      <c r="G53" s="22" t="s">
        <v>173</v>
      </c>
      <c r="H53" s="15" t="s">
        <v>204</v>
      </c>
      <c r="I53" s="15" t="s">
        <v>205</v>
      </c>
      <c r="J53" s="15" t="s">
        <v>186</v>
      </c>
      <c r="K53" s="19"/>
      <c r="L53" s="19"/>
      <c r="M53" s="20"/>
    </row>
    <row r="54" customFormat="false" ht="25.5" hidden="false" customHeight="true" outlineLevel="0" collapsed="false">
      <c r="A54" s="15" t="s">
        <v>206</v>
      </c>
      <c r="B54" s="16" t="s">
        <v>207</v>
      </c>
      <c r="C54" s="17" t="n">
        <v>18</v>
      </c>
      <c r="D54" s="15" t="n">
        <v>16</v>
      </c>
      <c r="E54" s="15" t="s">
        <v>68</v>
      </c>
      <c r="F54" s="16" t="s">
        <v>203</v>
      </c>
      <c r="G54" s="22" t="s">
        <v>173</v>
      </c>
      <c r="H54" s="15" t="s">
        <v>208</v>
      </c>
      <c r="I54" s="15" t="s">
        <v>181</v>
      </c>
      <c r="J54" s="15" t="s">
        <v>186</v>
      </c>
      <c r="K54" s="19"/>
      <c r="L54" s="19"/>
      <c r="M54" s="20"/>
    </row>
    <row r="55" customFormat="false" ht="25.5" hidden="false" customHeight="true" outlineLevel="0" collapsed="false">
      <c r="A55" s="15" t="s">
        <v>209</v>
      </c>
      <c r="B55" s="16" t="s">
        <v>210</v>
      </c>
      <c r="C55" s="17" t="n">
        <v>16</v>
      </c>
      <c r="D55" s="15" t="n">
        <v>13</v>
      </c>
      <c r="E55" s="15" t="s">
        <v>60</v>
      </c>
      <c r="F55" s="16" t="s">
        <v>103</v>
      </c>
      <c r="G55" s="22" t="s">
        <v>173</v>
      </c>
      <c r="H55" s="15" t="s">
        <v>211</v>
      </c>
      <c r="I55" s="15" t="s">
        <v>197</v>
      </c>
      <c r="J55" s="15" t="s">
        <v>176</v>
      </c>
      <c r="K55" s="19"/>
      <c r="L55" s="19"/>
      <c r="M55" s="20"/>
    </row>
    <row r="56" customFormat="false" ht="25.5" hidden="false" customHeight="true" outlineLevel="0" collapsed="false">
      <c r="A56" s="15" t="s">
        <v>212</v>
      </c>
      <c r="B56" s="16" t="s">
        <v>213</v>
      </c>
      <c r="C56" s="17" t="n">
        <v>15</v>
      </c>
      <c r="D56" s="15" t="n">
        <v>14</v>
      </c>
      <c r="E56" s="15" t="s">
        <v>60</v>
      </c>
      <c r="F56" s="16" t="s">
        <v>172</v>
      </c>
      <c r="G56" s="22" t="s">
        <v>173</v>
      </c>
      <c r="H56" s="15" t="s">
        <v>214</v>
      </c>
      <c r="I56" s="15" t="s">
        <v>190</v>
      </c>
      <c r="J56" s="15" t="s">
        <v>176</v>
      </c>
      <c r="K56" s="19"/>
      <c r="L56" s="19"/>
      <c r="M56" s="20"/>
    </row>
    <row r="57" customFormat="false" ht="25.5" hidden="false" customHeight="true" outlineLevel="0" collapsed="false">
      <c r="A57" s="15" t="s">
        <v>215</v>
      </c>
      <c r="B57" s="16" t="s">
        <v>216</v>
      </c>
      <c r="C57" s="17" t="n">
        <v>14</v>
      </c>
      <c r="D57" s="15" t="n">
        <v>13</v>
      </c>
      <c r="E57" s="15" t="s">
        <v>60</v>
      </c>
      <c r="F57" s="16" t="s">
        <v>155</v>
      </c>
      <c r="G57" s="22" t="s">
        <v>173</v>
      </c>
      <c r="H57" s="15" t="s">
        <v>217</v>
      </c>
      <c r="I57" s="15" t="s">
        <v>181</v>
      </c>
      <c r="J57" s="15" t="s">
        <v>176</v>
      </c>
      <c r="K57" s="19"/>
      <c r="L57" s="19"/>
      <c r="M57" s="20"/>
    </row>
    <row r="58" customFormat="false" ht="25.5" hidden="false" customHeight="true" outlineLevel="0" collapsed="false">
      <c r="A58" s="15" t="s">
        <v>218</v>
      </c>
      <c r="B58" s="16" t="s">
        <v>219</v>
      </c>
      <c r="C58" s="17" t="n">
        <v>13</v>
      </c>
      <c r="D58" s="15" t="n">
        <v>13</v>
      </c>
      <c r="E58" s="15" t="s">
        <v>60</v>
      </c>
      <c r="F58" s="16" t="s">
        <v>115</v>
      </c>
      <c r="G58" s="22" t="s">
        <v>173</v>
      </c>
      <c r="H58" s="15" t="s">
        <v>220</v>
      </c>
      <c r="I58" s="15" t="s">
        <v>221</v>
      </c>
      <c r="J58" s="15" t="s">
        <v>182</v>
      </c>
      <c r="K58" s="19"/>
      <c r="L58" s="19"/>
      <c r="M58" s="20"/>
    </row>
    <row r="59" customFormat="false" ht="25.5" hidden="false" customHeight="true" outlineLevel="0" collapsed="false">
      <c r="A59" s="15" t="s">
        <v>222</v>
      </c>
      <c r="B59" s="16" t="s">
        <v>223</v>
      </c>
      <c r="C59" s="17" t="n">
        <v>12</v>
      </c>
      <c r="D59" s="15" t="n">
        <v>10</v>
      </c>
      <c r="E59" s="15" t="s">
        <v>60</v>
      </c>
      <c r="F59" s="16" t="s">
        <v>224</v>
      </c>
      <c r="G59" s="22" t="s">
        <v>173</v>
      </c>
      <c r="H59" s="15" t="s">
        <v>208</v>
      </c>
      <c r="I59" s="15" t="s">
        <v>181</v>
      </c>
      <c r="J59" s="15" t="s">
        <v>186</v>
      </c>
      <c r="K59" s="19"/>
      <c r="L59" s="19"/>
      <c r="M59" s="20"/>
    </row>
    <row r="60" customFormat="false" ht="25.5" hidden="false" customHeight="true" outlineLevel="0" collapsed="false">
      <c r="A60" s="15" t="s">
        <v>225</v>
      </c>
      <c r="B60" s="16" t="s">
        <v>226</v>
      </c>
      <c r="C60" s="17" t="n">
        <v>11</v>
      </c>
      <c r="D60" s="15" t="n">
        <v>11</v>
      </c>
      <c r="E60" s="15" t="s">
        <v>60</v>
      </c>
      <c r="F60" s="16" t="s">
        <v>115</v>
      </c>
      <c r="G60" s="22" t="s">
        <v>173</v>
      </c>
      <c r="H60" s="15" t="s">
        <v>227</v>
      </c>
      <c r="I60" s="15" t="s">
        <v>181</v>
      </c>
      <c r="J60" s="15" t="s">
        <v>186</v>
      </c>
      <c r="K60" s="19"/>
      <c r="L60" s="19"/>
      <c r="M60" s="20"/>
    </row>
    <row r="61" customFormat="false" ht="25.5" hidden="false" customHeight="true" outlineLevel="0" collapsed="false">
      <c r="A61" s="15" t="s">
        <v>228</v>
      </c>
      <c r="B61" s="16" t="s">
        <v>229</v>
      </c>
      <c r="C61" s="17" t="n">
        <v>11</v>
      </c>
      <c r="D61" s="15" t="n">
        <v>11</v>
      </c>
      <c r="E61" s="15" t="s">
        <v>60</v>
      </c>
      <c r="F61" s="16" t="s">
        <v>172</v>
      </c>
      <c r="G61" s="22" t="s">
        <v>173</v>
      </c>
      <c r="H61" s="15" t="s">
        <v>230</v>
      </c>
      <c r="I61" s="15" t="s">
        <v>190</v>
      </c>
      <c r="J61" s="15" t="s">
        <v>176</v>
      </c>
      <c r="K61" s="19"/>
      <c r="L61" s="19"/>
      <c r="M61" s="20"/>
    </row>
    <row r="62" customFormat="false" ht="25.5" hidden="false" customHeight="true" outlineLevel="0" collapsed="false">
      <c r="A62" s="15" t="s">
        <v>231</v>
      </c>
      <c r="B62" s="16" t="s">
        <v>232</v>
      </c>
      <c r="C62" s="17" t="n">
        <v>9</v>
      </c>
      <c r="D62" s="15" t="n">
        <v>9</v>
      </c>
      <c r="E62" s="15" t="s">
        <v>60</v>
      </c>
      <c r="F62" s="16" t="s">
        <v>115</v>
      </c>
      <c r="G62" s="22" t="s">
        <v>173</v>
      </c>
      <c r="H62" s="15" t="s">
        <v>211</v>
      </c>
      <c r="I62" s="15" t="s">
        <v>197</v>
      </c>
      <c r="J62" s="15" t="s">
        <v>176</v>
      </c>
      <c r="K62" s="19"/>
      <c r="L62" s="19"/>
      <c r="M62" s="20"/>
    </row>
    <row r="63" customFormat="false" ht="25.5" hidden="false" customHeight="true" outlineLevel="0" collapsed="false">
      <c r="A63" s="15" t="s">
        <v>233</v>
      </c>
      <c r="B63" s="16" t="s">
        <v>234</v>
      </c>
      <c r="C63" s="17" t="n">
        <v>9</v>
      </c>
      <c r="D63" s="15" t="n">
        <v>9</v>
      </c>
      <c r="E63" s="15" t="s">
        <v>60</v>
      </c>
      <c r="F63" s="16" t="s">
        <v>155</v>
      </c>
      <c r="G63" s="22" t="s">
        <v>173</v>
      </c>
      <c r="H63" s="15" t="s">
        <v>217</v>
      </c>
      <c r="I63" s="15" t="s">
        <v>181</v>
      </c>
      <c r="J63" s="15" t="s">
        <v>176</v>
      </c>
      <c r="K63" s="19"/>
      <c r="L63" s="19"/>
      <c r="M63" s="20"/>
    </row>
    <row r="64" customFormat="false" ht="25.5" hidden="false" customHeight="true" outlineLevel="0" collapsed="false">
      <c r="A64" s="15" t="s">
        <v>235</v>
      </c>
      <c r="B64" s="16" t="s">
        <v>236</v>
      </c>
      <c r="C64" s="17" t="n">
        <v>9</v>
      </c>
      <c r="D64" s="15" t="n">
        <v>8</v>
      </c>
      <c r="E64" s="15" t="s">
        <v>60</v>
      </c>
      <c r="F64" s="16" t="s">
        <v>172</v>
      </c>
      <c r="G64" s="22" t="s">
        <v>173</v>
      </c>
      <c r="H64" s="15" t="s">
        <v>237</v>
      </c>
      <c r="I64" s="15" t="s">
        <v>238</v>
      </c>
      <c r="J64" s="15" t="s">
        <v>239</v>
      </c>
      <c r="K64" s="19"/>
      <c r="L64" s="19"/>
      <c r="M64" s="20"/>
    </row>
    <row r="65" customFormat="false" ht="25.5" hidden="false" customHeight="true" outlineLevel="0" collapsed="false">
      <c r="A65" s="15" t="s">
        <v>240</v>
      </c>
      <c r="B65" s="16" t="s">
        <v>241</v>
      </c>
      <c r="C65" s="17" t="n">
        <v>7</v>
      </c>
      <c r="D65" s="15" t="n">
        <v>6</v>
      </c>
      <c r="E65" s="15" t="s">
        <v>68</v>
      </c>
      <c r="F65" s="16" t="s">
        <v>242</v>
      </c>
      <c r="G65" s="22" t="s">
        <v>173</v>
      </c>
      <c r="H65" s="15" t="s">
        <v>243</v>
      </c>
      <c r="I65" s="15" t="s">
        <v>244</v>
      </c>
      <c r="J65" s="15" t="s">
        <v>186</v>
      </c>
      <c r="K65" s="19"/>
      <c r="L65" s="19"/>
      <c r="M65" s="20"/>
    </row>
    <row r="66" customFormat="false" ht="25.5" hidden="false" customHeight="true" outlineLevel="0" collapsed="false">
      <c r="A66" s="15" t="s">
        <v>245</v>
      </c>
      <c r="B66" s="16" t="s">
        <v>246</v>
      </c>
      <c r="C66" s="17" t="n">
        <v>7</v>
      </c>
      <c r="D66" s="15" t="n">
        <v>6</v>
      </c>
      <c r="E66" s="15" t="s">
        <v>68</v>
      </c>
      <c r="F66" s="16" t="s">
        <v>242</v>
      </c>
      <c r="G66" s="22" t="s">
        <v>173</v>
      </c>
      <c r="H66" s="15" t="s">
        <v>196</v>
      </c>
      <c r="I66" s="15" t="s">
        <v>197</v>
      </c>
      <c r="J66" s="15" t="s">
        <v>186</v>
      </c>
      <c r="K66" s="19"/>
      <c r="L66" s="19"/>
      <c r="M66" s="20"/>
    </row>
    <row r="67" customFormat="false" ht="25.5" hidden="false" customHeight="true" outlineLevel="0" collapsed="false">
      <c r="A67" s="15" t="s">
        <v>247</v>
      </c>
      <c r="B67" s="16" t="s">
        <v>248</v>
      </c>
      <c r="C67" s="17" t="n">
        <v>7</v>
      </c>
      <c r="D67" s="15" t="n">
        <v>7</v>
      </c>
      <c r="E67" s="15" t="s">
        <v>60</v>
      </c>
      <c r="F67" s="16" t="s">
        <v>65</v>
      </c>
      <c r="G67" s="22" t="s">
        <v>173</v>
      </c>
      <c r="H67" s="15" t="s">
        <v>249</v>
      </c>
      <c r="I67" s="15" t="s">
        <v>250</v>
      </c>
      <c r="J67" s="15" t="s">
        <v>186</v>
      </c>
      <c r="K67" s="19"/>
      <c r="L67" s="19"/>
      <c r="M67" s="20"/>
    </row>
    <row r="68" customFormat="false" ht="25.5" hidden="false" customHeight="true" outlineLevel="0" collapsed="false">
      <c r="A68" s="15" t="s">
        <v>251</v>
      </c>
      <c r="B68" s="16" t="s">
        <v>252</v>
      </c>
      <c r="C68" s="17" t="n">
        <v>7</v>
      </c>
      <c r="D68" s="15" t="n">
        <v>7</v>
      </c>
      <c r="E68" s="15" t="s">
        <v>60</v>
      </c>
      <c r="F68" s="16" t="s">
        <v>65</v>
      </c>
      <c r="G68" s="22" t="s">
        <v>173</v>
      </c>
      <c r="H68" s="15" t="s">
        <v>253</v>
      </c>
      <c r="I68" s="15" t="s">
        <v>254</v>
      </c>
      <c r="J68" s="15" t="s">
        <v>186</v>
      </c>
      <c r="K68" s="19"/>
      <c r="L68" s="19"/>
      <c r="M68" s="20"/>
    </row>
    <row r="69" customFormat="false" ht="25.5" hidden="false" customHeight="true" outlineLevel="0" collapsed="false">
      <c r="A69" s="15" t="s">
        <v>255</v>
      </c>
      <c r="B69" s="16" t="s">
        <v>256</v>
      </c>
      <c r="C69" s="17" t="n">
        <v>7</v>
      </c>
      <c r="D69" s="15" t="n">
        <v>6</v>
      </c>
      <c r="E69" s="15" t="s">
        <v>60</v>
      </c>
      <c r="F69" s="16" t="s">
        <v>257</v>
      </c>
      <c r="G69" s="22" t="s">
        <v>173</v>
      </c>
      <c r="H69" s="15" t="s">
        <v>258</v>
      </c>
      <c r="I69" s="15" t="s">
        <v>190</v>
      </c>
      <c r="J69" s="15" t="s">
        <v>239</v>
      </c>
      <c r="K69" s="19"/>
      <c r="L69" s="19"/>
      <c r="M69" s="20"/>
    </row>
    <row r="70" customFormat="false" ht="25.5" hidden="false" customHeight="true" outlineLevel="0" collapsed="false">
      <c r="A70" s="15" t="s">
        <v>259</v>
      </c>
      <c r="B70" s="16" t="s">
        <v>260</v>
      </c>
      <c r="C70" s="17" t="n">
        <v>6</v>
      </c>
      <c r="D70" s="15" t="n">
        <v>6</v>
      </c>
      <c r="E70" s="15" t="s">
        <v>60</v>
      </c>
      <c r="F70" s="16" t="s">
        <v>115</v>
      </c>
      <c r="G70" s="22" t="s">
        <v>173</v>
      </c>
      <c r="H70" s="15" t="s">
        <v>261</v>
      </c>
      <c r="I70" s="15" t="s">
        <v>254</v>
      </c>
      <c r="J70" s="15" t="s">
        <v>186</v>
      </c>
      <c r="K70" s="19"/>
      <c r="L70" s="19"/>
      <c r="M70" s="20"/>
    </row>
    <row r="71" customFormat="false" ht="25.5" hidden="false" customHeight="true" outlineLevel="0" collapsed="false">
      <c r="A71" s="15" t="s">
        <v>262</v>
      </c>
      <c r="B71" s="16" t="s">
        <v>263</v>
      </c>
      <c r="C71" s="17" t="n">
        <v>5</v>
      </c>
      <c r="D71" s="15" t="n">
        <v>5</v>
      </c>
      <c r="E71" s="15" t="s">
        <v>60</v>
      </c>
      <c r="F71" s="16" t="s">
        <v>65</v>
      </c>
      <c r="G71" s="22" t="s">
        <v>173</v>
      </c>
      <c r="H71" s="15" t="s">
        <v>211</v>
      </c>
      <c r="I71" s="15" t="s">
        <v>197</v>
      </c>
      <c r="J71" s="15" t="s">
        <v>176</v>
      </c>
      <c r="K71" s="19"/>
      <c r="L71" s="19"/>
      <c r="M71" s="20"/>
    </row>
    <row r="72" customFormat="false" ht="25.5" hidden="false" customHeight="true" outlineLevel="0" collapsed="false">
      <c r="A72" s="15" t="s">
        <v>264</v>
      </c>
      <c r="B72" s="16" t="s">
        <v>265</v>
      </c>
      <c r="C72" s="17" t="n">
        <v>5</v>
      </c>
      <c r="D72" s="15" t="n">
        <v>3</v>
      </c>
      <c r="E72" s="15" t="s">
        <v>68</v>
      </c>
      <c r="F72" s="16" t="s">
        <v>266</v>
      </c>
      <c r="G72" s="22" t="s">
        <v>173</v>
      </c>
      <c r="H72" s="15" t="s">
        <v>267</v>
      </c>
      <c r="I72" s="15" t="s">
        <v>181</v>
      </c>
      <c r="J72" s="15" t="s">
        <v>182</v>
      </c>
      <c r="K72" s="19"/>
      <c r="L72" s="19"/>
      <c r="M72" s="20"/>
    </row>
    <row r="73" customFormat="false" ht="25.5" hidden="false" customHeight="true" outlineLevel="0" collapsed="false">
      <c r="A73" s="15" t="s">
        <v>268</v>
      </c>
      <c r="B73" s="16" t="s">
        <v>269</v>
      </c>
      <c r="C73" s="17" t="n">
        <v>5</v>
      </c>
      <c r="D73" s="15" t="n">
        <v>4</v>
      </c>
      <c r="E73" s="15" t="s">
        <v>68</v>
      </c>
      <c r="F73" s="16" t="s">
        <v>270</v>
      </c>
      <c r="G73" s="22" t="s">
        <v>173</v>
      </c>
      <c r="H73" s="15" t="s">
        <v>193</v>
      </c>
      <c r="I73" s="15" t="s">
        <v>181</v>
      </c>
      <c r="J73" s="15" t="s">
        <v>176</v>
      </c>
      <c r="K73" s="19"/>
      <c r="L73" s="19"/>
      <c r="M73" s="20"/>
    </row>
    <row r="74" customFormat="false" ht="25.5" hidden="false" customHeight="true" outlineLevel="0" collapsed="false">
      <c r="A74" s="15" t="s">
        <v>271</v>
      </c>
      <c r="B74" s="16" t="s">
        <v>272</v>
      </c>
      <c r="C74" s="17" t="n">
        <v>4</v>
      </c>
      <c r="D74" s="15" t="n">
        <v>2</v>
      </c>
      <c r="E74" s="15" t="s">
        <v>68</v>
      </c>
      <c r="F74" s="16" t="s">
        <v>273</v>
      </c>
      <c r="G74" s="22" t="s">
        <v>173</v>
      </c>
      <c r="H74" s="15" t="s">
        <v>274</v>
      </c>
      <c r="I74" s="15" t="s">
        <v>275</v>
      </c>
      <c r="J74" s="15" t="s">
        <v>186</v>
      </c>
      <c r="K74" s="19"/>
      <c r="L74" s="19"/>
      <c r="M74" s="20"/>
    </row>
    <row r="75" customFormat="false" ht="25.5" hidden="false" customHeight="true" outlineLevel="0" collapsed="false">
      <c r="A75" s="15" t="s">
        <v>276</v>
      </c>
      <c r="B75" s="16" t="s">
        <v>277</v>
      </c>
      <c r="C75" s="17" t="n">
        <v>4</v>
      </c>
      <c r="D75" s="15" t="n">
        <v>3</v>
      </c>
      <c r="E75" s="15" t="s">
        <v>68</v>
      </c>
      <c r="F75" s="16" t="s">
        <v>270</v>
      </c>
      <c r="G75" s="22" t="s">
        <v>173</v>
      </c>
      <c r="H75" s="15" t="s">
        <v>193</v>
      </c>
      <c r="I75" s="15" t="s">
        <v>181</v>
      </c>
      <c r="J75" s="15" t="s">
        <v>176</v>
      </c>
      <c r="K75" s="19"/>
      <c r="L75" s="19"/>
      <c r="M75" s="20"/>
    </row>
    <row r="76" customFormat="false" ht="25.5" hidden="false" customHeight="true" outlineLevel="0" collapsed="false">
      <c r="A76" s="15" t="s">
        <v>278</v>
      </c>
      <c r="B76" s="16" t="s">
        <v>279</v>
      </c>
      <c r="C76" s="17" t="n">
        <v>4</v>
      </c>
      <c r="D76" s="15" t="n">
        <v>3</v>
      </c>
      <c r="E76" s="15" t="s">
        <v>68</v>
      </c>
      <c r="F76" s="16" t="s">
        <v>280</v>
      </c>
      <c r="G76" s="22" t="s">
        <v>173</v>
      </c>
      <c r="H76" s="15" t="s">
        <v>193</v>
      </c>
      <c r="I76" s="15" t="s">
        <v>181</v>
      </c>
      <c r="J76" s="15" t="s">
        <v>176</v>
      </c>
      <c r="K76" s="19"/>
      <c r="L76" s="19"/>
      <c r="M76" s="20"/>
    </row>
    <row r="77" customFormat="false" ht="25.5" hidden="false" customHeight="true" outlineLevel="0" collapsed="false">
      <c r="A77" s="15" t="s">
        <v>281</v>
      </c>
      <c r="B77" s="16" t="s">
        <v>282</v>
      </c>
      <c r="C77" s="17" t="n">
        <v>3</v>
      </c>
      <c r="D77" s="15" t="n">
        <v>2</v>
      </c>
      <c r="E77" s="15" t="s">
        <v>68</v>
      </c>
      <c r="F77" s="16" t="s">
        <v>283</v>
      </c>
      <c r="G77" s="22" t="s">
        <v>173</v>
      </c>
      <c r="H77" s="15" t="s">
        <v>211</v>
      </c>
      <c r="I77" s="15" t="s">
        <v>197</v>
      </c>
      <c r="J77" s="15" t="s">
        <v>176</v>
      </c>
      <c r="K77" s="19"/>
      <c r="L77" s="19"/>
      <c r="M77" s="20"/>
    </row>
    <row r="78" customFormat="false" ht="25.5" hidden="false" customHeight="true" outlineLevel="0" collapsed="false">
      <c r="A78" s="15" t="s">
        <v>284</v>
      </c>
      <c r="B78" s="16" t="s">
        <v>285</v>
      </c>
      <c r="C78" s="17" t="n">
        <v>3</v>
      </c>
      <c r="D78" s="15" t="n">
        <v>3</v>
      </c>
      <c r="E78" s="15" t="s">
        <v>60</v>
      </c>
      <c r="F78" s="16" t="s">
        <v>103</v>
      </c>
      <c r="G78" s="22" t="s">
        <v>173</v>
      </c>
      <c r="H78" s="15" t="s">
        <v>286</v>
      </c>
      <c r="I78" s="15" t="s">
        <v>181</v>
      </c>
      <c r="J78" s="15" t="s">
        <v>186</v>
      </c>
      <c r="K78" s="19"/>
      <c r="L78" s="19"/>
      <c r="M78" s="20"/>
    </row>
    <row r="79" customFormat="false" ht="25.5" hidden="false" customHeight="true" outlineLevel="0" collapsed="false">
      <c r="A79" s="15" t="s">
        <v>287</v>
      </c>
      <c r="B79" s="16" t="s">
        <v>288</v>
      </c>
      <c r="C79" s="17" t="n">
        <v>3</v>
      </c>
      <c r="D79" s="15" t="n">
        <v>2</v>
      </c>
      <c r="E79" s="15" t="s">
        <v>68</v>
      </c>
      <c r="F79" s="16" t="s">
        <v>289</v>
      </c>
      <c r="G79" s="22" t="s">
        <v>173</v>
      </c>
      <c r="H79" s="15" t="s">
        <v>211</v>
      </c>
      <c r="I79" s="15" t="s">
        <v>197</v>
      </c>
      <c r="J79" s="15" t="s">
        <v>176</v>
      </c>
      <c r="K79" s="19"/>
      <c r="L79" s="19"/>
      <c r="M79" s="20"/>
    </row>
    <row r="80" customFormat="false" ht="25.5" hidden="false" customHeight="true" outlineLevel="0" collapsed="false">
      <c r="A80" s="15" t="s">
        <v>290</v>
      </c>
      <c r="B80" s="16" t="s">
        <v>291</v>
      </c>
      <c r="C80" s="17" t="n">
        <v>3</v>
      </c>
      <c r="D80" s="15" t="n">
        <v>3</v>
      </c>
      <c r="E80" s="15" t="s">
        <v>68</v>
      </c>
      <c r="F80" s="16" t="s">
        <v>292</v>
      </c>
      <c r="G80" s="22" t="s">
        <v>173</v>
      </c>
      <c r="H80" s="15" t="s">
        <v>293</v>
      </c>
      <c r="I80" s="15" t="s">
        <v>190</v>
      </c>
      <c r="J80" s="15" t="s">
        <v>176</v>
      </c>
      <c r="K80" s="19"/>
      <c r="L80" s="19"/>
      <c r="M80" s="20"/>
    </row>
    <row r="81" customFormat="false" ht="25.5" hidden="false" customHeight="true" outlineLevel="0" collapsed="false">
      <c r="A81" s="15" t="s">
        <v>294</v>
      </c>
      <c r="B81" s="16" t="s">
        <v>295</v>
      </c>
      <c r="C81" s="17" t="n">
        <v>3</v>
      </c>
      <c r="D81" s="15" t="n">
        <v>2</v>
      </c>
      <c r="E81" s="15" t="s">
        <v>68</v>
      </c>
      <c r="F81" s="16" t="s">
        <v>296</v>
      </c>
      <c r="G81" s="22" t="s">
        <v>173</v>
      </c>
      <c r="H81" s="15" t="s">
        <v>297</v>
      </c>
      <c r="I81" s="15" t="s">
        <v>175</v>
      </c>
      <c r="J81" s="15" t="s">
        <v>186</v>
      </c>
      <c r="K81" s="19"/>
      <c r="L81" s="19"/>
      <c r="M81" s="20"/>
    </row>
    <row r="82" customFormat="false" ht="25.5" hidden="false" customHeight="true" outlineLevel="0" collapsed="false">
      <c r="A82" s="15" t="s">
        <v>298</v>
      </c>
      <c r="B82" s="16" t="s">
        <v>299</v>
      </c>
      <c r="C82" s="17" t="n">
        <v>3</v>
      </c>
      <c r="D82" s="15" t="n">
        <v>2</v>
      </c>
      <c r="E82" s="15" t="s">
        <v>68</v>
      </c>
      <c r="F82" s="16" t="s">
        <v>270</v>
      </c>
      <c r="G82" s="22" t="s">
        <v>173</v>
      </c>
      <c r="H82" s="15" t="s">
        <v>193</v>
      </c>
      <c r="I82" s="15" t="s">
        <v>181</v>
      </c>
      <c r="J82" s="15" t="s">
        <v>176</v>
      </c>
      <c r="K82" s="19"/>
      <c r="L82" s="19"/>
      <c r="M82" s="20"/>
    </row>
    <row r="83" customFormat="false" ht="25.5" hidden="false" customHeight="true" outlineLevel="0" collapsed="false">
      <c r="A83" s="15" t="s">
        <v>300</v>
      </c>
      <c r="B83" s="16" t="s">
        <v>301</v>
      </c>
      <c r="C83" s="17" t="n">
        <v>3</v>
      </c>
      <c r="D83" s="15" t="n">
        <v>2</v>
      </c>
      <c r="E83" s="15" t="s">
        <v>68</v>
      </c>
      <c r="F83" s="16" t="s">
        <v>270</v>
      </c>
      <c r="G83" s="22" t="s">
        <v>173</v>
      </c>
      <c r="H83" s="15" t="s">
        <v>193</v>
      </c>
      <c r="I83" s="15" t="s">
        <v>181</v>
      </c>
      <c r="J83" s="15" t="s">
        <v>176</v>
      </c>
      <c r="K83" s="19"/>
      <c r="L83" s="19"/>
      <c r="M83" s="20"/>
    </row>
    <row r="84" customFormat="false" ht="25.5" hidden="false" customHeight="true" outlineLevel="0" collapsed="false">
      <c r="A84" s="15" t="s">
        <v>302</v>
      </c>
      <c r="B84" s="16" t="s">
        <v>303</v>
      </c>
      <c r="C84" s="17" t="n">
        <v>3</v>
      </c>
      <c r="D84" s="15" t="n">
        <v>1</v>
      </c>
      <c r="E84" s="15" t="s">
        <v>68</v>
      </c>
      <c r="F84" s="16" t="s">
        <v>273</v>
      </c>
      <c r="G84" s="22" t="s">
        <v>173</v>
      </c>
      <c r="H84" s="15" t="s">
        <v>193</v>
      </c>
      <c r="I84" s="15" t="s">
        <v>181</v>
      </c>
      <c r="J84" s="15" t="s">
        <v>176</v>
      </c>
      <c r="K84" s="19"/>
      <c r="L84" s="19"/>
      <c r="M84" s="20"/>
    </row>
    <row r="85" customFormat="false" ht="25.5" hidden="false" customHeight="true" outlineLevel="0" collapsed="false">
      <c r="A85" s="15" t="s">
        <v>304</v>
      </c>
      <c r="B85" s="16" t="s">
        <v>305</v>
      </c>
      <c r="C85" s="17" t="n">
        <v>2</v>
      </c>
      <c r="D85" s="15" t="n">
        <v>2</v>
      </c>
      <c r="E85" s="15" t="s">
        <v>68</v>
      </c>
      <c r="F85" s="16" t="s">
        <v>306</v>
      </c>
      <c r="G85" s="22" t="s">
        <v>173</v>
      </c>
      <c r="H85" s="15" t="s">
        <v>174</v>
      </c>
      <c r="I85" s="15" t="s">
        <v>175</v>
      </c>
      <c r="J85" s="15" t="s">
        <v>176</v>
      </c>
      <c r="K85" s="19"/>
      <c r="L85" s="19"/>
      <c r="M85" s="20"/>
    </row>
    <row r="86" customFormat="false" ht="25.5" hidden="false" customHeight="true" outlineLevel="0" collapsed="false">
      <c r="A86" s="15" t="s">
        <v>307</v>
      </c>
      <c r="B86" s="16" t="s">
        <v>308</v>
      </c>
      <c r="C86" s="17" t="n">
        <v>2</v>
      </c>
      <c r="D86" s="15" t="n">
        <v>2</v>
      </c>
      <c r="E86" s="15" t="s">
        <v>68</v>
      </c>
      <c r="F86" s="16" t="s">
        <v>74</v>
      </c>
      <c r="G86" s="22" t="s">
        <v>173</v>
      </c>
      <c r="H86" s="15" t="s">
        <v>249</v>
      </c>
      <c r="I86" s="15" t="s">
        <v>250</v>
      </c>
      <c r="J86" s="15" t="s">
        <v>186</v>
      </c>
      <c r="K86" s="19"/>
      <c r="L86" s="19"/>
      <c r="M86" s="20"/>
    </row>
    <row r="87" customFormat="false" ht="25.5" hidden="false" customHeight="true" outlineLevel="0" collapsed="false">
      <c r="A87" s="15" t="s">
        <v>309</v>
      </c>
      <c r="B87" s="16" t="s">
        <v>310</v>
      </c>
      <c r="C87" s="17" t="n">
        <v>2</v>
      </c>
      <c r="D87" s="15" t="n">
        <v>2</v>
      </c>
      <c r="E87" s="15" t="s">
        <v>68</v>
      </c>
      <c r="F87" s="16" t="s">
        <v>79</v>
      </c>
      <c r="G87" s="22" t="s">
        <v>173</v>
      </c>
      <c r="H87" s="15" t="s">
        <v>211</v>
      </c>
      <c r="I87" s="15" t="s">
        <v>197</v>
      </c>
      <c r="J87" s="15" t="s">
        <v>176</v>
      </c>
      <c r="K87" s="19"/>
      <c r="L87" s="19"/>
      <c r="M87" s="20"/>
    </row>
    <row r="88" customFormat="false" ht="25.5" hidden="false" customHeight="true" outlineLevel="0" collapsed="false">
      <c r="A88" s="15" t="s">
        <v>311</v>
      </c>
      <c r="B88" s="16" t="s">
        <v>312</v>
      </c>
      <c r="C88" s="17" t="n">
        <v>2</v>
      </c>
      <c r="D88" s="15" t="n">
        <v>2</v>
      </c>
      <c r="E88" s="15" t="s">
        <v>68</v>
      </c>
      <c r="F88" s="16" t="s">
        <v>79</v>
      </c>
      <c r="G88" s="22" t="s">
        <v>173</v>
      </c>
      <c r="H88" s="15" t="s">
        <v>313</v>
      </c>
      <c r="I88" s="15" t="s">
        <v>314</v>
      </c>
      <c r="J88" s="15" t="s">
        <v>186</v>
      </c>
      <c r="K88" s="19"/>
      <c r="L88" s="19"/>
      <c r="M88" s="20"/>
    </row>
    <row r="89" customFormat="false" ht="25.5" hidden="false" customHeight="true" outlineLevel="0" collapsed="false">
      <c r="A89" s="15" t="s">
        <v>315</v>
      </c>
      <c r="B89" s="16" t="s">
        <v>316</v>
      </c>
      <c r="C89" s="17" t="n">
        <v>2</v>
      </c>
      <c r="D89" s="15" t="n">
        <v>2</v>
      </c>
      <c r="E89" s="15" t="s">
        <v>68</v>
      </c>
      <c r="F89" s="16" t="s">
        <v>306</v>
      </c>
      <c r="G89" s="22" t="s">
        <v>173</v>
      </c>
      <c r="H89" s="15" t="s">
        <v>174</v>
      </c>
      <c r="I89" s="15" t="s">
        <v>175</v>
      </c>
      <c r="J89" s="15" t="s">
        <v>176</v>
      </c>
      <c r="K89" s="19"/>
      <c r="L89" s="19"/>
      <c r="M89" s="20"/>
    </row>
    <row r="90" customFormat="false" ht="25.5" hidden="false" customHeight="true" outlineLevel="0" collapsed="false">
      <c r="A90" s="15" t="s">
        <v>317</v>
      </c>
      <c r="B90" s="16" t="s">
        <v>318</v>
      </c>
      <c r="C90" s="17" t="n">
        <v>2</v>
      </c>
      <c r="D90" s="15" t="n">
        <v>2</v>
      </c>
      <c r="E90" s="15" t="s">
        <v>68</v>
      </c>
      <c r="F90" s="16" t="s">
        <v>306</v>
      </c>
      <c r="G90" s="22" t="s">
        <v>173</v>
      </c>
      <c r="H90" s="15" t="s">
        <v>319</v>
      </c>
      <c r="I90" s="15" t="s">
        <v>175</v>
      </c>
      <c r="J90" s="15" t="s">
        <v>176</v>
      </c>
      <c r="K90" s="19"/>
      <c r="L90" s="19"/>
      <c r="M90" s="20"/>
    </row>
    <row r="91" customFormat="false" ht="25.5" hidden="false" customHeight="true" outlineLevel="0" collapsed="false">
      <c r="A91" s="15" t="s">
        <v>320</v>
      </c>
      <c r="B91" s="16" t="s">
        <v>321</v>
      </c>
      <c r="C91" s="17" t="n">
        <v>1</v>
      </c>
      <c r="D91" s="15" t="n">
        <v>1</v>
      </c>
      <c r="E91" s="15" t="s">
        <v>322</v>
      </c>
      <c r="F91" s="16" t="s">
        <v>323</v>
      </c>
      <c r="G91" s="22" t="s">
        <v>173</v>
      </c>
      <c r="H91" s="15" t="s">
        <v>211</v>
      </c>
      <c r="I91" s="15" t="s">
        <v>197</v>
      </c>
      <c r="J91" s="15" t="s">
        <v>176</v>
      </c>
      <c r="K91" s="19"/>
      <c r="L91" s="19"/>
      <c r="M91" s="20"/>
    </row>
    <row r="92" customFormat="false" ht="25.5" hidden="false" customHeight="true" outlineLevel="0" collapsed="false">
      <c r="A92" s="15" t="s">
        <v>324</v>
      </c>
      <c r="B92" s="16" t="s">
        <v>325</v>
      </c>
      <c r="C92" s="17" t="n">
        <v>1</v>
      </c>
      <c r="D92" s="15" t="n">
        <v>1</v>
      </c>
      <c r="E92" s="15" t="s">
        <v>68</v>
      </c>
      <c r="F92" s="16" t="s">
        <v>82</v>
      </c>
      <c r="G92" s="22" t="s">
        <v>173</v>
      </c>
      <c r="H92" s="15" t="s">
        <v>326</v>
      </c>
      <c r="I92" s="15" t="s">
        <v>327</v>
      </c>
      <c r="J92" s="15" t="s">
        <v>176</v>
      </c>
      <c r="K92" s="19"/>
      <c r="L92" s="19"/>
      <c r="M92" s="20"/>
    </row>
    <row r="93" customFormat="false" ht="25.5" hidden="false" customHeight="true" outlineLevel="0" collapsed="false">
      <c r="A93" s="15" t="s">
        <v>328</v>
      </c>
      <c r="B93" s="16" t="s">
        <v>329</v>
      </c>
      <c r="C93" s="17" t="n">
        <v>1</v>
      </c>
      <c r="D93" s="15" t="n">
        <v>1</v>
      </c>
      <c r="E93" s="15" t="s">
        <v>322</v>
      </c>
      <c r="F93" s="16" t="s">
        <v>330</v>
      </c>
      <c r="G93" s="22" t="s">
        <v>173</v>
      </c>
      <c r="H93" s="15" t="s">
        <v>331</v>
      </c>
      <c r="I93" s="15" t="s">
        <v>181</v>
      </c>
      <c r="J93" s="15" t="s">
        <v>186</v>
      </c>
      <c r="K93" s="19"/>
      <c r="L93" s="19"/>
      <c r="M93" s="20"/>
    </row>
    <row r="94" customFormat="false" ht="25.5" hidden="false" customHeight="true" outlineLevel="0" collapsed="false">
      <c r="A94" s="15" t="s">
        <v>332</v>
      </c>
      <c r="B94" s="16" t="s">
        <v>333</v>
      </c>
      <c r="C94" s="17" t="n">
        <v>1</v>
      </c>
      <c r="D94" s="15" t="n">
        <v>1</v>
      </c>
      <c r="E94" s="15" t="s">
        <v>68</v>
      </c>
      <c r="F94" s="16" t="s">
        <v>334</v>
      </c>
      <c r="G94" s="22" t="s">
        <v>173</v>
      </c>
      <c r="H94" s="15" t="s">
        <v>193</v>
      </c>
      <c r="I94" s="15" t="s">
        <v>181</v>
      </c>
      <c r="J94" s="15" t="s">
        <v>176</v>
      </c>
      <c r="K94" s="19"/>
      <c r="L94" s="19"/>
      <c r="M94" s="20"/>
    </row>
    <row r="95" customFormat="false" ht="25.5" hidden="false" customHeight="true" outlineLevel="0" collapsed="false">
      <c r="A95" s="15" t="s">
        <v>335</v>
      </c>
      <c r="B95" s="16" t="s">
        <v>336</v>
      </c>
      <c r="C95" s="17" t="n">
        <v>1</v>
      </c>
      <c r="D95" s="15" t="n">
        <v>1</v>
      </c>
      <c r="E95" s="15" t="s">
        <v>322</v>
      </c>
      <c r="F95" s="16" t="s">
        <v>65</v>
      </c>
      <c r="G95" s="22" t="s">
        <v>173</v>
      </c>
      <c r="H95" s="15" t="s">
        <v>326</v>
      </c>
      <c r="I95" s="15" t="s">
        <v>327</v>
      </c>
      <c r="J95" s="15" t="s">
        <v>176</v>
      </c>
      <c r="K95" s="19"/>
      <c r="L95" s="19"/>
      <c r="M95" s="20"/>
    </row>
    <row r="96" customFormat="false" ht="25.5" hidden="false" customHeight="true" outlineLevel="0" collapsed="false">
      <c r="A96" s="15" t="s">
        <v>337</v>
      </c>
      <c r="B96" s="16" t="s">
        <v>338</v>
      </c>
      <c r="C96" s="17" t="n">
        <v>1</v>
      </c>
      <c r="D96" s="15" t="n">
        <v>1</v>
      </c>
      <c r="E96" s="15" t="s">
        <v>68</v>
      </c>
      <c r="F96" s="16" t="s">
        <v>339</v>
      </c>
      <c r="G96" s="22" t="s">
        <v>173</v>
      </c>
      <c r="H96" s="15" t="s">
        <v>326</v>
      </c>
      <c r="I96" s="15" t="s">
        <v>327</v>
      </c>
      <c r="J96" s="15" t="s">
        <v>176</v>
      </c>
      <c r="K96" s="19"/>
      <c r="L96" s="19"/>
      <c r="M96" s="20"/>
    </row>
    <row r="97" customFormat="false" ht="25.5" hidden="false" customHeight="true" outlineLevel="0" collapsed="false">
      <c r="A97" s="15" t="s">
        <v>340</v>
      </c>
      <c r="B97" s="16" t="s">
        <v>341</v>
      </c>
      <c r="C97" s="17" t="n">
        <v>1</v>
      </c>
      <c r="D97" s="15" t="n">
        <v>1</v>
      </c>
      <c r="E97" s="15" t="s">
        <v>68</v>
      </c>
      <c r="F97" s="16" t="s">
        <v>342</v>
      </c>
      <c r="G97" s="22" t="s">
        <v>173</v>
      </c>
      <c r="H97" s="15" t="s">
        <v>326</v>
      </c>
      <c r="I97" s="15" t="s">
        <v>327</v>
      </c>
      <c r="J97" s="15" t="s">
        <v>176</v>
      </c>
      <c r="K97" s="19"/>
      <c r="L97" s="19"/>
      <c r="M97" s="20"/>
    </row>
    <row r="98" customFormat="false" ht="25.5" hidden="false" customHeight="true" outlineLevel="0" collapsed="false">
      <c r="A98" s="15" t="s">
        <v>343</v>
      </c>
      <c r="B98" s="16" t="s">
        <v>344</v>
      </c>
      <c r="C98" s="17" t="n">
        <v>1</v>
      </c>
      <c r="D98" s="15" t="n">
        <v>1</v>
      </c>
      <c r="E98" s="15" t="s">
        <v>68</v>
      </c>
      <c r="F98" s="16" t="s">
        <v>342</v>
      </c>
      <c r="G98" s="22" t="s">
        <v>173</v>
      </c>
      <c r="H98" s="15" t="s">
        <v>211</v>
      </c>
      <c r="I98" s="15" t="s">
        <v>197</v>
      </c>
      <c r="J98" s="15" t="s">
        <v>176</v>
      </c>
      <c r="K98" s="19"/>
      <c r="L98" s="19"/>
      <c r="M98" s="20"/>
    </row>
    <row r="99" customFormat="false" ht="25.5" hidden="false" customHeight="true" outlineLevel="0" collapsed="false">
      <c r="A99" s="15" t="s">
        <v>345</v>
      </c>
      <c r="B99" s="16" t="s">
        <v>346</v>
      </c>
      <c r="C99" s="17" t="n">
        <v>1</v>
      </c>
      <c r="D99" s="15" t="n">
        <v>1</v>
      </c>
      <c r="E99" s="15" t="s">
        <v>68</v>
      </c>
      <c r="F99" s="16" t="s">
        <v>163</v>
      </c>
      <c r="G99" s="22" t="s">
        <v>173</v>
      </c>
      <c r="H99" s="15" t="s">
        <v>196</v>
      </c>
      <c r="I99" s="15" t="s">
        <v>197</v>
      </c>
      <c r="J99" s="15" t="s">
        <v>186</v>
      </c>
      <c r="K99" s="19"/>
      <c r="L99" s="19"/>
      <c r="M99" s="20"/>
    </row>
    <row r="100" customFormat="false" ht="25.5" hidden="false" customHeight="true" outlineLevel="0" collapsed="false">
      <c r="A100" s="15" t="s">
        <v>347</v>
      </c>
      <c r="B100" s="16" t="s">
        <v>348</v>
      </c>
      <c r="C100" s="17" t="n">
        <v>1</v>
      </c>
      <c r="D100" s="15" t="n">
        <v>1</v>
      </c>
      <c r="E100" s="15" t="s">
        <v>68</v>
      </c>
      <c r="F100" s="16" t="s">
        <v>82</v>
      </c>
      <c r="G100" s="22" t="s">
        <v>173</v>
      </c>
      <c r="H100" s="15" t="s">
        <v>349</v>
      </c>
      <c r="I100" s="15" t="s">
        <v>350</v>
      </c>
      <c r="J100" s="15" t="s">
        <v>186</v>
      </c>
      <c r="K100" s="19"/>
      <c r="L100" s="19"/>
      <c r="M100" s="20"/>
    </row>
    <row r="101" customFormat="false" ht="25.5" hidden="false" customHeight="true" outlineLevel="0" collapsed="false">
      <c r="A101" s="15" t="s">
        <v>351</v>
      </c>
      <c r="B101" s="16" t="s">
        <v>352</v>
      </c>
      <c r="C101" s="17" t="n">
        <v>1</v>
      </c>
      <c r="D101" s="15" t="n">
        <v>1</v>
      </c>
      <c r="E101" s="15" t="s">
        <v>68</v>
      </c>
      <c r="F101" s="16" t="s">
        <v>88</v>
      </c>
      <c r="G101" s="22" t="s">
        <v>173</v>
      </c>
      <c r="H101" s="15" t="s">
        <v>196</v>
      </c>
      <c r="I101" s="15" t="s">
        <v>197</v>
      </c>
      <c r="J101" s="15" t="s">
        <v>186</v>
      </c>
      <c r="K101" s="19"/>
      <c r="L101" s="19"/>
      <c r="M101" s="20"/>
    </row>
    <row r="102" customFormat="false" ht="25.5" hidden="false" customHeight="true" outlineLevel="0" collapsed="false">
      <c r="A102" s="15" t="s">
        <v>353</v>
      </c>
      <c r="B102" s="16" t="s">
        <v>354</v>
      </c>
      <c r="C102" s="17" t="n">
        <v>1</v>
      </c>
      <c r="D102" s="15" t="n">
        <v>1</v>
      </c>
      <c r="E102" s="15" t="s">
        <v>68</v>
      </c>
      <c r="F102" s="16" t="s">
        <v>355</v>
      </c>
      <c r="G102" s="22" t="s">
        <v>173</v>
      </c>
      <c r="H102" s="15" t="s">
        <v>193</v>
      </c>
      <c r="I102" s="15" t="s">
        <v>181</v>
      </c>
      <c r="J102" s="15" t="s">
        <v>176</v>
      </c>
      <c r="K102" s="19"/>
      <c r="L102" s="19"/>
      <c r="M102" s="20"/>
    </row>
    <row r="103" customFormat="false" ht="25.5" hidden="false" customHeight="true" outlineLevel="0" collapsed="false">
      <c r="A103" s="15" t="s">
        <v>356</v>
      </c>
      <c r="B103" s="16" t="s">
        <v>357</v>
      </c>
      <c r="C103" s="17" t="n">
        <v>1</v>
      </c>
      <c r="D103" s="15" t="n">
        <v>1</v>
      </c>
      <c r="E103" s="15" t="s">
        <v>322</v>
      </c>
      <c r="F103" s="16" t="s">
        <v>65</v>
      </c>
      <c r="G103" s="22" t="s">
        <v>173</v>
      </c>
      <c r="H103" s="15" t="s">
        <v>193</v>
      </c>
      <c r="I103" s="15" t="s">
        <v>181</v>
      </c>
      <c r="J103" s="15" t="s">
        <v>176</v>
      </c>
      <c r="K103" s="19"/>
      <c r="L103" s="19"/>
      <c r="M103" s="20"/>
    </row>
    <row r="104" customFormat="false" ht="25.5" hidden="false" customHeight="true" outlineLevel="0" collapsed="false">
      <c r="A104" s="15" t="s">
        <v>358</v>
      </c>
      <c r="B104" s="16" t="s">
        <v>359</v>
      </c>
      <c r="C104" s="17" t="n">
        <v>1</v>
      </c>
      <c r="D104" s="15" t="n">
        <v>1</v>
      </c>
      <c r="E104" s="15" t="s">
        <v>68</v>
      </c>
      <c r="F104" s="16" t="s">
        <v>360</v>
      </c>
      <c r="G104" s="22" t="s">
        <v>173</v>
      </c>
      <c r="H104" s="15" t="s">
        <v>196</v>
      </c>
      <c r="I104" s="15" t="s">
        <v>197</v>
      </c>
      <c r="J104" s="15" t="s">
        <v>186</v>
      </c>
      <c r="K104" s="19"/>
      <c r="L104" s="19"/>
      <c r="M104" s="20"/>
    </row>
    <row r="105" customFormat="false" ht="25.5" hidden="false" customHeight="true" outlineLevel="0" collapsed="false">
      <c r="A105" s="15" t="s">
        <v>361</v>
      </c>
      <c r="B105" s="16" t="s">
        <v>362</v>
      </c>
      <c r="C105" s="17" t="n">
        <v>1</v>
      </c>
      <c r="D105" s="15" t="n">
        <v>1</v>
      </c>
      <c r="E105" s="15" t="s">
        <v>322</v>
      </c>
      <c r="F105" s="16" t="s">
        <v>363</v>
      </c>
      <c r="G105" s="22" t="s">
        <v>173</v>
      </c>
      <c r="H105" s="15" t="s">
        <v>196</v>
      </c>
      <c r="I105" s="15" t="s">
        <v>197</v>
      </c>
      <c r="J105" s="15" t="s">
        <v>186</v>
      </c>
      <c r="K105" s="19"/>
      <c r="L105" s="19"/>
      <c r="M105" s="20"/>
    </row>
    <row r="106" customFormat="false" ht="25.5" hidden="false" customHeight="true" outlineLevel="0" collapsed="false">
      <c r="A106" s="15" t="s">
        <v>364</v>
      </c>
      <c r="B106" s="16" t="s">
        <v>365</v>
      </c>
      <c r="C106" s="17" t="n">
        <v>1</v>
      </c>
      <c r="D106" s="15" t="n">
        <v>1</v>
      </c>
      <c r="E106" s="15" t="s">
        <v>322</v>
      </c>
      <c r="F106" s="16" t="s">
        <v>323</v>
      </c>
      <c r="G106" s="22" t="s">
        <v>173</v>
      </c>
      <c r="H106" s="15" t="s">
        <v>196</v>
      </c>
      <c r="I106" s="15" t="s">
        <v>197</v>
      </c>
      <c r="J106" s="15" t="s">
        <v>186</v>
      </c>
      <c r="K106" s="19"/>
      <c r="L106" s="19"/>
      <c r="M106" s="20"/>
    </row>
    <row r="107" customFormat="false" ht="25.5" hidden="false" customHeight="true" outlineLevel="0" collapsed="false">
      <c r="A107" s="15" t="s">
        <v>366</v>
      </c>
      <c r="B107" s="16" t="s">
        <v>367</v>
      </c>
      <c r="C107" s="17" t="n">
        <v>1</v>
      </c>
      <c r="D107" s="15" t="n">
        <v>1</v>
      </c>
      <c r="E107" s="15" t="s">
        <v>68</v>
      </c>
      <c r="F107" s="16" t="s">
        <v>368</v>
      </c>
      <c r="G107" s="22" t="s">
        <v>173</v>
      </c>
      <c r="H107" s="15" t="s">
        <v>369</v>
      </c>
      <c r="I107" s="15" t="s">
        <v>370</v>
      </c>
      <c r="J107" s="15" t="s">
        <v>186</v>
      </c>
      <c r="K107" s="19"/>
      <c r="L107" s="19"/>
      <c r="M107" s="20"/>
    </row>
    <row r="108" customFormat="false" ht="25.5" hidden="false" customHeight="true" outlineLevel="0" collapsed="false">
      <c r="A108" s="15" t="s">
        <v>371</v>
      </c>
      <c r="B108" s="16" t="s">
        <v>372</v>
      </c>
      <c r="C108" s="17" t="n">
        <v>1</v>
      </c>
      <c r="D108" s="15" t="n">
        <v>1</v>
      </c>
      <c r="E108" s="15" t="s">
        <v>68</v>
      </c>
      <c r="F108" s="16" t="s">
        <v>339</v>
      </c>
      <c r="G108" s="22" t="s">
        <v>173</v>
      </c>
      <c r="H108" s="15" t="s">
        <v>326</v>
      </c>
      <c r="I108" s="15" t="s">
        <v>327</v>
      </c>
      <c r="J108" s="15" t="s">
        <v>176</v>
      </c>
      <c r="K108" s="19"/>
      <c r="L108" s="19"/>
      <c r="M108" s="20"/>
    </row>
    <row r="109" customFormat="false" ht="25.5" hidden="false" customHeight="true" outlineLevel="0" collapsed="false">
      <c r="A109" s="15" t="s">
        <v>373</v>
      </c>
      <c r="B109" s="16" t="s">
        <v>374</v>
      </c>
      <c r="C109" s="17" t="n">
        <v>1</v>
      </c>
      <c r="D109" s="15" t="n">
        <v>1</v>
      </c>
      <c r="E109" s="15" t="s">
        <v>68</v>
      </c>
      <c r="F109" s="16" t="s">
        <v>296</v>
      </c>
      <c r="G109" s="22" t="s">
        <v>173</v>
      </c>
      <c r="H109" s="15" t="s">
        <v>375</v>
      </c>
      <c r="I109" s="15" t="s">
        <v>190</v>
      </c>
      <c r="J109" s="15" t="s">
        <v>186</v>
      </c>
      <c r="K109" s="19"/>
      <c r="L109" s="19"/>
      <c r="M109" s="20"/>
    </row>
    <row r="110" customFormat="false" ht="25.5" hidden="false" customHeight="true" outlineLevel="0" collapsed="false">
      <c r="A110" s="15" t="s">
        <v>376</v>
      </c>
      <c r="B110" s="16" t="s">
        <v>377</v>
      </c>
      <c r="C110" s="17" t="n">
        <v>1</v>
      </c>
      <c r="D110" s="15" t="n">
        <v>1</v>
      </c>
      <c r="E110" s="15" t="s">
        <v>68</v>
      </c>
      <c r="F110" s="16" t="s">
        <v>155</v>
      </c>
      <c r="G110" s="22" t="s">
        <v>173</v>
      </c>
      <c r="H110" s="15" t="s">
        <v>217</v>
      </c>
      <c r="I110" s="15" t="s">
        <v>181</v>
      </c>
      <c r="J110" s="15" t="s">
        <v>176</v>
      </c>
      <c r="K110" s="19"/>
      <c r="L110" s="19"/>
      <c r="M110" s="20"/>
    </row>
    <row r="111" customFormat="false" ht="25.5" hidden="false" customHeight="true" outlineLevel="0" collapsed="false">
      <c r="A111" s="15" t="s">
        <v>378</v>
      </c>
      <c r="B111" s="16" t="s">
        <v>379</v>
      </c>
      <c r="C111" s="17" t="n">
        <v>1</v>
      </c>
      <c r="D111" s="15" t="n">
        <v>1</v>
      </c>
      <c r="E111" s="15" t="s">
        <v>68</v>
      </c>
      <c r="F111" s="16" t="s">
        <v>155</v>
      </c>
      <c r="G111" s="22" t="s">
        <v>173</v>
      </c>
      <c r="H111" s="15" t="s">
        <v>217</v>
      </c>
      <c r="I111" s="15" t="s">
        <v>181</v>
      </c>
      <c r="J111" s="15" t="s">
        <v>176</v>
      </c>
      <c r="K111" s="19"/>
      <c r="L111" s="19"/>
      <c r="M111" s="20"/>
    </row>
    <row r="112" customFormat="false" ht="25.5" hidden="false" customHeight="true" outlineLevel="0" collapsed="false">
      <c r="A112" s="15" t="s">
        <v>380</v>
      </c>
      <c r="B112" s="16" t="s">
        <v>381</v>
      </c>
      <c r="C112" s="17" t="n">
        <v>1</v>
      </c>
      <c r="D112" s="15" t="n">
        <v>1</v>
      </c>
      <c r="E112" s="15" t="s">
        <v>322</v>
      </c>
      <c r="F112" s="16" t="s">
        <v>323</v>
      </c>
      <c r="G112" s="22" t="s">
        <v>173</v>
      </c>
      <c r="H112" s="15" t="s">
        <v>211</v>
      </c>
      <c r="I112" s="15" t="s">
        <v>197</v>
      </c>
      <c r="J112" s="15" t="s">
        <v>176</v>
      </c>
      <c r="K112" s="19"/>
      <c r="L112" s="19"/>
      <c r="M112" s="20"/>
    </row>
    <row r="113" customFormat="false" ht="25.5" hidden="false" customHeight="true" outlineLevel="0" collapsed="false">
      <c r="A113" s="15" t="s">
        <v>382</v>
      </c>
      <c r="B113" s="16" t="s">
        <v>383</v>
      </c>
      <c r="C113" s="17" t="n">
        <v>1</v>
      </c>
      <c r="D113" s="15" t="n">
        <v>1</v>
      </c>
      <c r="E113" s="15" t="s">
        <v>68</v>
      </c>
      <c r="F113" s="16" t="s">
        <v>384</v>
      </c>
      <c r="G113" s="22" t="s">
        <v>173</v>
      </c>
      <c r="H113" s="15" t="s">
        <v>208</v>
      </c>
      <c r="I113" s="15" t="s">
        <v>181</v>
      </c>
      <c r="J113" s="15" t="s">
        <v>186</v>
      </c>
      <c r="K113" s="19"/>
      <c r="L113" s="19"/>
      <c r="M113" s="20"/>
    </row>
    <row r="114" customFormat="false" ht="25.5" hidden="false" customHeight="true" outlineLevel="0" collapsed="false">
      <c r="A114" s="15" t="s">
        <v>385</v>
      </c>
      <c r="B114" s="16" t="s">
        <v>386</v>
      </c>
      <c r="C114" s="17" t="n">
        <v>1</v>
      </c>
      <c r="D114" s="15" t="n">
        <v>1</v>
      </c>
      <c r="E114" s="15" t="s">
        <v>68</v>
      </c>
      <c r="F114" s="16" t="s">
        <v>166</v>
      </c>
      <c r="G114" s="22" t="s">
        <v>173</v>
      </c>
      <c r="H114" s="15" t="s">
        <v>253</v>
      </c>
      <c r="I114" s="15" t="s">
        <v>254</v>
      </c>
      <c r="J114" s="15" t="s">
        <v>186</v>
      </c>
      <c r="K114" s="19"/>
      <c r="L114" s="19"/>
      <c r="M114" s="20"/>
    </row>
    <row r="115" customFormat="false" ht="25.5" hidden="false" customHeight="true" outlineLevel="0" collapsed="false">
      <c r="A115" s="15" t="s">
        <v>387</v>
      </c>
      <c r="B115" s="16" t="s">
        <v>388</v>
      </c>
      <c r="C115" s="17" t="n">
        <v>1</v>
      </c>
      <c r="D115" s="15" t="n">
        <v>1</v>
      </c>
      <c r="E115" s="15" t="s">
        <v>68</v>
      </c>
      <c r="F115" s="16" t="s">
        <v>389</v>
      </c>
      <c r="G115" s="22" t="s">
        <v>173</v>
      </c>
      <c r="H115" s="15" t="s">
        <v>174</v>
      </c>
      <c r="I115" s="15" t="s">
        <v>175</v>
      </c>
      <c r="J115" s="15" t="s">
        <v>176</v>
      </c>
      <c r="K115" s="19"/>
      <c r="L115" s="19"/>
      <c r="M115" s="20"/>
    </row>
    <row r="116" customFormat="false" ht="25.5" hidden="false" customHeight="true" outlineLevel="0" collapsed="false">
      <c r="A116" s="15" t="s">
        <v>390</v>
      </c>
      <c r="B116" s="16" t="s">
        <v>391</v>
      </c>
      <c r="C116" s="17" t="n">
        <v>1</v>
      </c>
      <c r="D116" s="15" t="n">
        <v>1</v>
      </c>
      <c r="E116" s="15" t="s">
        <v>68</v>
      </c>
      <c r="F116" s="16" t="s">
        <v>91</v>
      </c>
      <c r="G116" s="22" t="s">
        <v>173</v>
      </c>
      <c r="H116" s="15" t="s">
        <v>196</v>
      </c>
      <c r="I116" s="15" t="s">
        <v>197</v>
      </c>
      <c r="J116" s="15" t="s">
        <v>186</v>
      </c>
      <c r="K116" s="19"/>
      <c r="L116" s="19"/>
      <c r="M116" s="20"/>
    </row>
    <row r="117" customFormat="false" ht="25.5" hidden="false" customHeight="true" outlineLevel="0" collapsed="false">
      <c r="A117" s="15" t="s">
        <v>392</v>
      </c>
      <c r="B117" s="16" t="s">
        <v>393</v>
      </c>
      <c r="C117" s="17" t="n">
        <v>1</v>
      </c>
      <c r="D117" s="15" t="n">
        <v>1</v>
      </c>
      <c r="E117" s="15" t="s">
        <v>68</v>
      </c>
      <c r="F117" s="16" t="s">
        <v>360</v>
      </c>
      <c r="G117" s="22" t="s">
        <v>173</v>
      </c>
      <c r="H117" s="15" t="s">
        <v>211</v>
      </c>
      <c r="I117" s="15" t="s">
        <v>197</v>
      </c>
      <c r="J117" s="15" t="s">
        <v>176</v>
      </c>
      <c r="K117" s="19"/>
      <c r="L117" s="19"/>
      <c r="M117" s="20"/>
    </row>
    <row r="118" customFormat="false" ht="25.5" hidden="false" customHeight="true" outlineLevel="0" collapsed="false">
      <c r="A118" s="15" t="s">
        <v>394</v>
      </c>
      <c r="B118" s="16" t="s">
        <v>395</v>
      </c>
      <c r="C118" s="17" t="n">
        <v>1</v>
      </c>
      <c r="D118" s="15" t="n">
        <v>1</v>
      </c>
      <c r="E118" s="15" t="s">
        <v>322</v>
      </c>
      <c r="F118" s="16" t="s">
        <v>115</v>
      </c>
      <c r="G118" s="22" t="s">
        <v>173</v>
      </c>
      <c r="H118" s="15" t="s">
        <v>396</v>
      </c>
      <c r="I118" s="15" t="s">
        <v>244</v>
      </c>
      <c r="J118" s="15" t="s">
        <v>239</v>
      </c>
      <c r="K118" s="19"/>
      <c r="L118" s="19"/>
      <c r="M118" s="20"/>
    </row>
    <row r="119" customFormat="false" ht="25.5" hidden="false" customHeight="true" outlineLevel="0" collapsed="false">
      <c r="A119" s="15" t="s">
        <v>397</v>
      </c>
      <c r="B119" s="16" t="s">
        <v>398</v>
      </c>
      <c r="C119" s="17" t="n">
        <v>1</v>
      </c>
      <c r="D119" s="15" t="n">
        <v>1</v>
      </c>
      <c r="E119" s="15" t="s">
        <v>322</v>
      </c>
      <c r="F119" s="16" t="s">
        <v>103</v>
      </c>
      <c r="G119" s="22" t="s">
        <v>173</v>
      </c>
      <c r="H119" s="15" t="s">
        <v>396</v>
      </c>
      <c r="I119" s="15" t="s">
        <v>244</v>
      </c>
      <c r="J119" s="15" t="s">
        <v>239</v>
      </c>
      <c r="K119" s="19"/>
      <c r="L119" s="19"/>
      <c r="M119" s="20"/>
    </row>
    <row r="120" customFormat="false" ht="25.5" hidden="false" customHeight="true" outlineLevel="0" collapsed="false">
      <c r="A120" s="15" t="s">
        <v>399</v>
      </c>
      <c r="B120" s="16" t="s">
        <v>400</v>
      </c>
      <c r="C120" s="17" t="n">
        <v>1</v>
      </c>
      <c r="D120" s="15" t="n">
        <v>1</v>
      </c>
      <c r="E120" s="15" t="s">
        <v>68</v>
      </c>
      <c r="F120" s="16" t="s">
        <v>88</v>
      </c>
      <c r="G120" s="22" t="s">
        <v>173</v>
      </c>
      <c r="H120" s="15" t="s">
        <v>401</v>
      </c>
      <c r="I120" s="15" t="s">
        <v>314</v>
      </c>
      <c r="J120" s="15" t="s">
        <v>186</v>
      </c>
      <c r="K120" s="19"/>
      <c r="L120" s="19"/>
      <c r="M120" s="20"/>
    </row>
    <row r="121" customFormat="false" ht="25.5" hidden="false" customHeight="true" outlineLevel="0" collapsed="false">
      <c r="A121" s="15" t="s">
        <v>402</v>
      </c>
      <c r="B121" s="16" t="s">
        <v>403</v>
      </c>
      <c r="C121" s="17" t="n">
        <v>1</v>
      </c>
      <c r="D121" s="15" t="n">
        <v>1</v>
      </c>
      <c r="E121" s="15" t="s">
        <v>322</v>
      </c>
      <c r="F121" s="16" t="s">
        <v>330</v>
      </c>
      <c r="G121" s="22" t="s">
        <v>173</v>
      </c>
      <c r="H121" s="15" t="s">
        <v>404</v>
      </c>
      <c r="I121" s="15" t="s">
        <v>405</v>
      </c>
      <c r="J121" s="15" t="s">
        <v>186</v>
      </c>
      <c r="K121" s="19"/>
      <c r="L121" s="19"/>
      <c r="M121" s="20"/>
    </row>
    <row r="122" customFormat="false" ht="25.5" hidden="false" customHeight="true" outlineLevel="0" collapsed="false">
      <c r="A122" s="15" t="s">
        <v>406</v>
      </c>
      <c r="B122" s="16" t="s">
        <v>407</v>
      </c>
      <c r="C122" s="17" t="n">
        <v>1</v>
      </c>
      <c r="D122" s="15" t="n">
        <v>1</v>
      </c>
      <c r="E122" s="15" t="s">
        <v>68</v>
      </c>
      <c r="F122" s="16" t="s">
        <v>408</v>
      </c>
      <c r="G122" s="22" t="s">
        <v>173</v>
      </c>
      <c r="H122" s="15" t="s">
        <v>211</v>
      </c>
      <c r="I122" s="15" t="s">
        <v>197</v>
      </c>
      <c r="J122" s="15" t="s">
        <v>176</v>
      </c>
      <c r="K122" s="19"/>
      <c r="L122" s="19"/>
      <c r="M122" s="20"/>
    </row>
  </sheetData>
  <autoFilter ref="A1:M122"/>
  <conditionalFormatting sqref="K2:K122">
    <cfRule type="cellIs" priority="2" operator="equal" aboveAverage="0" equalAverage="0" bottom="0" percent="0" rank="0" text="" dxfId="9">
      <formula>"keep"</formula>
    </cfRule>
    <cfRule type="cellIs" priority="3" operator="equal" aboveAverage="0" equalAverage="0" bottom="0" percent="0" rank="0" text="" dxfId="10">
      <formula>"drop"</formula>
    </cfRule>
    <cfRule type="cellIs" priority="4" operator="equal" aboveAverage="0" equalAverage="0" bottom="0" percent="0" rank="0" text="" dxfId="11">
      <formula>"edit"</formula>
    </cfRule>
  </conditionalFormatting>
  <dataValidations count="1">
    <dataValidation allowBlank="true" error="Verdict must be keep, drop, or edit." errorStyle="stop" operator="between" prompt="keep = security vulnerability; drop = not security; edit = fix the category" showDropDown="false" showErrorMessage="false" showInputMessage="false" sqref="K2:K122" type="list">
      <formula1>"keep,drop,edit"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6"/>
    <col collapsed="false" customWidth="true" hidden="false" outlineLevel="0" max="3" min="3" style="0" width="30"/>
    <col collapsed="false" customWidth="true" hidden="false" outlineLevel="0" max="4" min="4" style="0" width="42"/>
    <col collapsed="false" customWidth="true" hidden="false" outlineLevel="0" max="5" min="5" style="0" width="15"/>
    <col collapsed="false" customWidth="true" hidden="false" outlineLevel="0" max="6" min="6" style="0" width="13"/>
    <col collapsed="false" customWidth="true" hidden="false" outlineLevel="0" max="7" min="7" style="0" width="17"/>
  </cols>
  <sheetData>
    <row r="1" customFormat="false" ht="30" hidden="false" customHeight="true" outlineLevel="0" collapsed="false">
      <c r="A1" s="14" t="s">
        <v>409</v>
      </c>
      <c r="B1" s="14" t="s">
        <v>410</v>
      </c>
      <c r="C1" s="14" t="s">
        <v>411</v>
      </c>
      <c r="D1" s="14" t="s">
        <v>412</v>
      </c>
      <c r="E1" s="14" t="s">
        <v>21</v>
      </c>
      <c r="F1" s="14" t="s">
        <v>25</v>
      </c>
      <c r="G1" s="14" t="s">
        <v>413</v>
      </c>
    </row>
    <row r="2" customFormat="false" ht="15" hidden="false" customHeight="false" outlineLevel="0" collapsed="false">
      <c r="A2" s="15" t="s">
        <v>414</v>
      </c>
      <c r="B2" s="15" t="s">
        <v>322</v>
      </c>
      <c r="C2" s="15" t="s">
        <v>415</v>
      </c>
      <c r="D2" s="15" t="s">
        <v>416</v>
      </c>
      <c r="E2" s="15" t="s">
        <v>120</v>
      </c>
      <c r="F2" s="23" t="s">
        <v>97</v>
      </c>
      <c r="G2" s="15" t="n">
        <f aca="false">IFERROR(INDEX(Decisions!$K$2:$K$122,MATCH(E2,Decisions!$A$2:$A$122,0)),"")</f>
        <v>0</v>
      </c>
    </row>
    <row r="3" customFormat="false" ht="15" hidden="false" customHeight="false" outlineLevel="0" collapsed="false">
      <c r="A3" s="15" t="s">
        <v>417</v>
      </c>
      <c r="B3" s="15" t="s">
        <v>322</v>
      </c>
      <c r="C3" s="15" t="s">
        <v>415</v>
      </c>
      <c r="D3" s="15" t="s">
        <v>416</v>
      </c>
      <c r="E3" s="15" t="s">
        <v>335</v>
      </c>
      <c r="F3" s="24" t="s">
        <v>173</v>
      </c>
      <c r="G3" s="15" t="n">
        <f aca="false">IFERROR(INDEX(Decisions!$K$2:$K$122,MATCH(E3,Decisions!$A$2:$A$122,0)),"")</f>
        <v>0</v>
      </c>
    </row>
    <row r="4" customFormat="false" ht="15" hidden="false" customHeight="false" outlineLevel="0" collapsed="false">
      <c r="A4" s="15" t="s">
        <v>418</v>
      </c>
      <c r="B4" s="15" t="s">
        <v>322</v>
      </c>
      <c r="C4" s="15" t="s">
        <v>415</v>
      </c>
      <c r="D4" s="15" t="s">
        <v>416</v>
      </c>
      <c r="E4" s="15" t="s">
        <v>122</v>
      </c>
      <c r="F4" s="23" t="s">
        <v>97</v>
      </c>
      <c r="G4" s="15" t="n">
        <f aca="false">IFERROR(INDEX(Decisions!$K$2:$K$122,MATCH(E4,Decisions!$A$2:$A$122,0)),"")</f>
        <v>0</v>
      </c>
    </row>
    <row r="5" customFormat="false" ht="15" hidden="false" customHeight="false" outlineLevel="0" collapsed="false">
      <c r="A5" s="15" t="s">
        <v>419</v>
      </c>
      <c r="B5" s="15" t="s">
        <v>322</v>
      </c>
      <c r="C5" s="15" t="s">
        <v>415</v>
      </c>
      <c r="D5" s="15" t="s">
        <v>416</v>
      </c>
      <c r="E5" s="15" t="s">
        <v>63</v>
      </c>
      <c r="F5" s="25" t="s">
        <v>26</v>
      </c>
      <c r="G5" s="15" t="str">
        <f aca="false">IFERROR(INDEX(Decisions!$K$2:$K$122,MATCH(E5,Decisions!$A$2:$A$122,0)),"")</f>
        <v>drop</v>
      </c>
    </row>
    <row r="6" customFormat="false" ht="15" hidden="false" customHeight="false" outlineLevel="0" collapsed="false">
      <c r="A6" s="15" t="s">
        <v>420</v>
      </c>
      <c r="B6" s="15" t="s">
        <v>322</v>
      </c>
      <c r="C6" s="15" t="s">
        <v>415</v>
      </c>
      <c r="D6" s="15" t="s">
        <v>416</v>
      </c>
      <c r="E6" s="15" t="s">
        <v>141</v>
      </c>
      <c r="F6" s="23" t="s">
        <v>97</v>
      </c>
      <c r="G6" s="15" t="n">
        <f aca="false">IFERROR(INDEX(Decisions!$K$2:$K$122,MATCH(E6,Decisions!$A$2:$A$122,0)),"")</f>
        <v>0</v>
      </c>
    </row>
    <row r="7" customFormat="false" ht="15" hidden="false" customHeight="false" outlineLevel="0" collapsed="false">
      <c r="A7" s="15" t="s">
        <v>421</v>
      </c>
      <c r="B7" s="15" t="s">
        <v>322</v>
      </c>
      <c r="C7" s="15" t="s">
        <v>415</v>
      </c>
      <c r="D7" s="15" t="s">
        <v>416</v>
      </c>
      <c r="E7" s="15" t="s">
        <v>124</v>
      </c>
      <c r="F7" s="23" t="s">
        <v>97</v>
      </c>
      <c r="G7" s="15" t="n">
        <f aca="false">IFERROR(INDEX(Decisions!$K$2:$K$122,MATCH(E7,Decisions!$A$2:$A$122,0)),"")</f>
        <v>0</v>
      </c>
    </row>
    <row r="8" customFormat="false" ht="15" hidden="false" customHeight="false" outlineLevel="0" collapsed="false">
      <c r="A8" s="15" t="s">
        <v>422</v>
      </c>
      <c r="B8" s="15" t="s">
        <v>322</v>
      </c>
      <c r="C8" s="15" t="s">
        <v>415</v>
      </c>
      <c r="D8" s="15" t="s">
        <v>416</v>
      </c>
      <c r="E8" s="15" t="s">
        <v>262</v>
      </c>
      <c r="F8" s="24" t="s">
        <v>173</v>
      </c>
      <c r="G8" s="15" t="n">
        <f aca="false">IFERROR(INDEX(Decisions!$K$2:$K$122,MATCH(E8,Decisions!$A$2:$A$122,0)),"")</f>
        <v>0</v>
      </c>
    </row>
    <row r="9" customFormat="false" ht="15" hidden="false" customHeight="false" outlineLevel="0" collapsed="false">
      <c r="A9" s="15" t="s">
        <v>423</v>
      </c>
      <c r="B9" s="15" t="s">
        <v>322</v>
      </c>
      <c r="C9" s="15" t="s">
        <v>415</v>
      </c>
      <c r="D9" s="15" t="s">
        <v>416</v>
      </c>
      <c r="E9" s="15" t="s">
        <v>247</v>
      </c>
      <c r="F9" s="24" t="s">
        <v>173</v>
      </c>
      <c r="G9" s="15" t="n">
        <f aca="false">IFERROR(INDEX(Decisions!$K$2:$K$122,MATCH(E9,Decisions!$A$2:$A$122,0)),"")</f>
        <v>0</v>
      </c>
    </row>
    <row r="10" customFormat="false" ht="15" hidden="false" customHeight="false" outlineLevel="0" collapsed="false">
      <c r="A10" s="15" t="s">
        <v>424</v>
      </c>
      <c r="B10" s="15" t="s">
        <v>322</v>
      </c>
      <c r="C10" s="15" t="s">
        <v>415</v>
      </c>
      <c r="D10" s="15" t="s">
        <v>416</v>
      </c>
      <c r="E10" s="15" t="s">
        <v>356</v>
      </c>
      <c r="F10" s="24" t="s">
        <v>173</v>
      </c>
      <c r="G10" s="15" t="n">
        <f aca="false">IFERROR(INDEX(Decisions!$K$2:$K$122,MATCH(E10,Decisions!$A$2:$A$122,0)),"")</f>
        <v>0</v>
      </c>
    </row>
    <row r="11" customFormat="false" ht="15" hidden="false" customHeight="false" outlineLevel="0" collapsed="false">
      <c r="A11" s="15" t="s">
        <v>425</v>
      </c>
      <c r="B11" s="15" t="s">
        <v>322</v>
      </c>
      <c r="C11" s="15" t="s">
        <v>415</v>
      </c>
      <c r="D11" s="15" t="s">
        <v>416</v>
      </c>
      <c r="E11" s="15" t="s">
        <v>251</v>
      </c>
      <c r="F11" s="24" t="s">
        <v>173</v>
      </c>
      <c r="G11" s="15" t="n">
        <f aca="false">IFERROR(INDEX(Decisions!$K$2:$K$122,MATCH(E11,Decisions!$A$2:$A$122,0)),"")</f>
        <v>0</v>
      </c>
    </row>
    <row r="12" customFormat="false" ht="15" hidden="false" customHeight="false" outlineLevel="0" collapsed="false">
      <c r="A12" s="15" t="s">
        <v>426</v>
      </c>
      <c r="B12" s="15" t="s">
        <v>322</v>
      </c>
      <c r="C12" s="15" t="s">
        <v>415</v>
      </c>
      <c r="D12" s="15" t="s">
        <v>416</v>
      </c>
      <c r="E12" s="15" t="s">
        <v>126</v>
      </c>
      <c r="F12" s="23" t="s">
        <v>97</v>
      </c>
      <c r="G12" s="15" t="n">
        <f aca="false">IFERROR(INDEX(Decisions!$K$2:$K$122,MATCH(E12,Decisions!$A$2:$A$122,0)),"")</f>
        <v>0</v>
      </c>
    </row>
    <row r="13" customFormat="false" ht="15" hidden="false" customHeight="false" outlineLevel="0" collapsed="false">
      <c r="A13" s="15" t="s">
        <v>427</v>
      </c>
      <c r="B13" s="15" t="s">
        <v>322</v>
      </c>
      <c r="C13" s="15" t="s">
        <v>415</v>
      </c>
      <c r="D13" s="15" t="s">
        <v>428</v>
      </c>
      <c r="E13" s="15" t="s">
        <v>235</v>
      </c>
      <c r="F13" s="24" t="s">
        <v>173</v>
      </c>
      <c r="G13" s="15" t="n">
        <f aca="false">IFERROR(INDEX(Decisions!$K$2:$K$122,MATCH(E13,Decisions!$A$2:$A$122,0)),"")</f>
        <v>0</v>
      </c>
    </row>
    <row r="14" customFormat="false" ht="15" hidden="false" customHeight="false" outlineLevel="0" collapsed="false">
      <c r="A14" s="15" t="s">
        <v>429</v>
      </c>
      <c r="B14" s="15" t="s">
        <v>322</v>
      </c>
      <c r="C14" s="15" t="s">
        <v>415</v>
      </c>
      <c r="D14" s="15" t="s">
        <v>428</v>
      </c>
      <c r="E14" s="15" t="s">
        <v>228</v>
      </c>
      <c r="F14" s="24" t="s">
        <v>173</v>
      </c>
      <c r="G14" s="15" t="n">
        <f aca="false">IFERROR(INDEX(Decisions!$K$2:$K$122,MATCH(E14,Decisions!$A$2:$A$122,0)),"")</f>
        <v>0</v>
      </c>
    </row>
    <row r="15" customFormat="false" ht="15" hidden="false" customHeight="false" outlineLevel="0" collapsed="false">
      <c r="A15" s="15" t="s">
        <v>430</v>
      </c>
      <c r="B15" s="15" t="s">
        <v>322</v>
      </c>
      <c r="C15" s="15" t="s">
        <v>415</v>
      </c>
      <c r="D15" s="15" t="s">
        <v>428</v>
      </c>
      <c r="E15" s="15" t="s">
        <v>212</v>
      </c>
      <c r="F15" s="24" t="s">
        <v>173</v>
      </c>
      <c r="G15" s="15" t="n">
        <f aca="false">IFERROR(INDEX(Decisions!$K$2:$K$122,MATCH(E15,Decisions!$A$2:$A$122,0)),"")</f>
        <v>0</v>
      </c>
    </row>
    <row r="16" customFormat="false" ht="15" hidden="false" customHeight="false" outlineLevel="0" collapsed="false">
      <c r="A16" s="15" t="s">
        <v>431</v>
      </c>
      <c r="B16" s="15" t="s">
        <v>322</v>
      </c>
      <c r="C16" s="15" t="s">
        <v>415</v>
      </c>
      <c r="D16" s="15" t="s">
        <v>428</v>
      </c>
      <c r="E16" s="15" t="s">
        <v>187</v>
      </c>
      <c r="F16" s="24" t="s">
        <v>173</v>
      </c>
      <c r="G16" s="15" t="n">
        <f aca="false">IFERROR(INDEX(Decisions!$K$2:$K$122,MATCH(E16,Decisions!$A$2:$A$122,0)),"")</f>
        <v>0</v>
      </c>
    </row>
    <row r="17" customFormat="false" ht="15" hidden="false" customHeight="false" outlineLevel="0" collapsed="false">
      <c r="A17" s="15" t="s">
        <v>432</v>
      </c>
      <c r="B17" s="15" t="s">
        <v>322</v>
      </c>
      <c r="C17" s="15" t="s">
        <v>415</v>
      </c>
      <c r="D17" s="15" t="s">
        <v>428</v>
      </c>
      <c r="E17" s="15" t="s">
        <v>170</v>
      </c>
      <c r="F17" s="24" t="s">
        <v>173</v>
      </c>
      <c r="G17" s="15" t="n">
        <f aca="false">IFERROR(INDEX(Decisions!$K$2:$K$122,MATCH(E17,Decisions!$A$2:$A$122,0)),"")</f>
        <v>0</v>
      </c>
    </row>
    <row r="18" customFormat="false" ht="15" hidden="false" customHeight="false" outlineLevel="0" collapsed="false">
      <c r="A18" s="15" t="s">
        <v>433</v>
      </c>
      <c r="B18" s="15" t="s">
        <v>322</v>
      </c>
      <c r="C18" s="15" t="s">
        <v>415</v>
      </c>
      <c r="D18" s="15" t="s">
        <v>434</v>
      </c>
      <c r="E18" s="15" t="s">
        <v>101</v>
      </c>
      <c r="F18" s="23" t="s">
        <v>97</v>
      </c>
      <c r="G18" s="15" t="n">
        <f aca="false">IFERROR(INDEX(Decisions!$K$2:$K$122,MATCH(E18,Decisions!$A$2:$A$122,0)),"")</f>
        <v>0</v>
      </c>
    </row>
    <row r="19" customFormat="false" ht="15" hidden="false" customHeight="false" outlineLevel="0" collapsed="false">
      <c r="A19" s="15" t="s">
        <v>435</v>
      </c>
      <c r="B19" s="15" t="s">
        <v>322</v>
      </c>
      <c r="C19" s="15" t="s">
        <v>415</v>
      </c>
      <c r="D19" s="15" t="s">
        <v>434</v>
      </c>
      <c r="E19" s="15" t="s">
        <v>104</v>
      </c>
      <c r="F19" s="23" t="s">
        <v>97</v>
      </c>
      <c r="G19" s="15" t="n">
        <f aca="false">IFERROR(INDEX(Decisions!$K$2:$K$122,MATCH(E19,Decisions!$A$2:$A$122,0)),"")</f>
        <v>0</v>
      </c>
    </row>
    <row r="20" customFormat="false" ht="15" hidden="false" customHeight="false" outlineLevel="0" collapsed="false">
      <c r="A20" s="15" t="s">
        <v>436</v>
      </c>
      <c r="B20" s="15" t="s">
        <v>322</v>
      </c>
      <c r="C20" s="15" t="s">
        <v>415</v>
      </c>
      <c r="D20" s="15" t="s">
        <v>434</v>
      </c>
      <c r="E20" s="15" t="s">
        <v>201</v>
      </c>
      <c r="F20" s="24" t="s">
        <v>173</v>
      </c>
      <c r="G20" s="15" t="n">
        <f aca="false">IFERROR(INDEX(Decisions!$K$2:$K$122,MATCH(E20,Decisions!$A$2:$A$122,0)),"")</f>
        <v>0</v>
      </c>
    </row>
    <row r="21" customFormat="false" ht="15" hidden="false" customHeight="false" outlineLevel="0" collapsed="false">
      <c r="A21" s="15" t="s">
        <v>437</v>
      </c>
      <c r="B21" s="15" t="s">
        <v>322</v>
      </c>
      <c r="C21" s="15" t="s">
        <v>415</v>
      </c>
      <c r="D21" s="15" t="s">
        <v>434</v>
      </c>
      <c r="E21" s="15" t="s">
        <v>209</v>
      </c>
      <c r="F21" s="24" t="s">
        <v>173</v>
      </c>
      <c r="G21" s="15" t="n">
        <f aca="false">IFERROR(INDEX(Decisions!$K$2:$K$122,MATCH(E21,Decisions!$A$2:$A$122,0)),"")</f>
        <v>0</v>
      </c>
    </row>
    <row r="22" customFormat="false" ht="15" hidden="false" customHeight="false" outlineLevel="0" collapsed="false">
      <c r="A22" s="15" t="s">
        <v>438</v>
      </c>
      <c r="B22" s="15" t="s">
        <v>322</v>
      </c>
      <c r="C22" s="15" t="s">
        <v>415</v>
      </c>
      <c r="D22" s="15" t="s">
        <v>439</v>
      </c>
      <c r="E22" s="15" t="s">
        <v>94</v>
      </c>
      <c r="F22" s="23" t="s">
        <v>97</v>
      </c>
      <c r="G22" s="15" t="n">
        <f aca="false">IFERROR(INDEX(Decisions!$K$2:$K$122,MATCH(E22,Decisions!$A$2:$A$122,0)),"")</f>
        <v>0</v>
      </c>
    </row>
    <row r="23" customFormat="false" ht="15" hidden="false" customHeight="false" outlineLevel="0" collapsed="false">
      <c r="A23" s="15" t="s">
        <v>440</v>
      </c>
      <c r="B23" s="15" t="s">
        <v>322</v>
      </c>
      <c r="C23" s="15" t="s">
        <v>415</v>
      </c>
      <c r="D23" s="15" t="s">
        <v>441</v>
      </c>
      <c r="E23" s="15" t="s">
        <v>94</v>
      </c>
      <c r="F23" s="23" t="s">
        <v>97</v>
      </c>
      <c r="G23" s="15" t="n">
        <f aca="false">IFERROR(INDEX(Decisions!$K$2:$K$122,MATCH(E23,Decisions!$A$2:$A$122,0)),"")</f>
        <v>0</v>
      </c>
    </row>
    <row r="24" customFormat="false" ht="15" hidden="false" customHeight="false" outlineLevel="0" collapsed="false">
      <c r="A24" s="15" t="s">
        <v>442</v>
      </c>
      <c r="B24" s="15" t="s">
        <v>322</v>
      </c>
      <c r="C24" s="15" t="s">
        <v>415</v>
      </c>
      <c r="D24" s="15" t="s">
        <v>441</v>
      </c>
      <c r="E24" s="15" t="s">
        <v>183</v>
      </c>
      <c r="F24" s="24" t="s">
        <v>173</v>
      </c>
      <c r="G24" s="15" t="n">
        <f aca="false">IFERROR(INDEX(Decisions!$K$2:$K$122,MATCH(E24,Decisions!$A$2:$A$122,0)),"")</f>
        <v>0</v>
      </c>
    </row>
    <row r="25" customFormat="false" ht="15" hidden="false" customHeight="false" outlineLevel="0" collapsed="false">
      <c r="A25" s="15" t="s">
        <v>443</v>
      </c>
      <c r="B25" s="15" t="s">
        <v>322</v>
      </c>
      <c r="C25" s="15" t="s">
        <v>415</v>
      </c>
      <c r="D25" s="15" t="s">
        <v>444</v>
      </c>
      <c r="E25" s="15" t="s">
        <v>94</v>
      </c>
      <c r="F25" s="23" t="s">
        <v>97</v>
      </c>
      <c r="G25" s="15" t="n">
        <f aca="false">IFERROR(INDEX(Decisions!$K$2:$K$122,MATCH(E25,Decisions!$A$2:$A$122,0)),"")</f>
        <v>0</v>
      </c>
    </row>
    <row r="26" customFormat="false" ht="15" hidden="false" customHeight="false" outlineLevel="0" collapsed="false">
      <c r="A26" s="15" t="s">
        <v>445</v>
      </c>
      <c r="B26" s="15" t="s">
        <v>322</v>
      </c>
      <c r="C26" s="15" t="s">
        <v>446</v>
      </c>
      <c r="D26" s="15" t="s">
        <v>447</v>
      </c>
      <c r="E26" s="15" t="s">
        <v>320</v>
      </c>
      <c r="F26" s="24" t="s">
        <v>173</v>
      </c>
      <c r="G26" s="15" t="n">
        <f aca="false">IFERROR(INDEX(Decisions!$K$2:$K$122,MATCH(E26,Decisions!$A$2:$A$122,0)),"")</f>
        <v>0</v>
      </c>
    </row>
    <row r="27" customFormat="false" ht="15" hidden="false" customHeight="false" outlineLevel="0" collapsed="false">
      <c r="A27" s="15" t="s">
        <v>448</v>
      </c>
      <c r="B27" s="15" t="s">
        <v>322</v>
      </c>
      <c r="C27" s="15" t="s">
        <v>446</v>
      </c>
      <c r="D27" s="15" t="s">
        <v>447</v>
      </c>
      <c r="E27" s="15" t="s">
        <v>364</v>
      </c>
      <c r="F27" s="24" t="s">
        <v>173</v>
      </c>
      <c r="G27" s="15" t="n">
        <f aca="false">IFERROR(INDEX(Decisions!$K$2:$K$122,MATCH(E27,Decisions!$A$2:$A$122,0)),"")</f>
        <v>0</v>
      </c>
    </row>
    <row r="28" customFormat="false" ht="15" hidden="false" customHeight="false" outlineLevel="0" collapsed="false">
      <c r="A28" s="15" t="s">
        <v>449</v>
      </c>
      <c r="B28" s="15" t="s">
        <v>322</v>
      </c>
      <c r="C28" s="15" t="s">
        <v>446</v>
      </c>
      <c r="D28" s="15" t="s">
        <v>447</v>
      </c>
      <c r="E28" s="15" t="s">
        <v>380</v>
      </c>
      <c r="F28" s="24" t="s">
        <v>173</v>
      </c>
      <c r="G28" s="15" t="n">
        <f aca="false">IFERROR(INDEX(Decisions!$K$2:$K$122,MATCH(E28,Decisions!$A$2:$A$122,0)),"")</f>
        <v>0</v>
      </c>
    </row>
    <row r="29" customFormat="false" ht="15" hidden="false" customHeight="false" outlineLevel="0" collapsed="false">
      <c r="A29" s="15" t="s">
        <v>450</v>
      </c>
      <c r="B29" s="15" t="s">
        <v>322</v>
      </c>
      <c r="C29" s="15" t="s">
        <v>446</v>
      </c>
      <c r="D29" s="15" t="s">
        <v>451</v>
      </c>
      <c r="E29" s="15" t="s">
        <v>284</v>
      </c>
      <c r="F29" s="24" t="s">
        <v>173</v>
      </c>
      <c r="G29" s="15" t="n">
        <f aca="false">IFERROR(INDEX(Decisions!$K$2:$K$122,MATCH(E29,Decisions!$A$2:$A$122,0)),"")</f>
        <v>0</v>
      </c>
    </row>
    <row r="30" customFormat="false" ht="15" hidden="false" customHeight="false" outlineLevel="0" collapsed="false">
      <c r="A30" s="15" t="s">
        <v>452</v>
      </c>
      <c r="B30" s="15" t="s">
        <v>322</v>
      </c>
      <c r="C30" s="15" t="s">
        <v>446</v>
      </c>
      <c r="D30" s="15" t="s">
        <v>451</v>
      </c>
      <c r="E30" s="15" t="s">
        <v>101</v>
      </c>
      <c r="F30" s="23" t="s">
        <v>97</v>
      </c>
      <c r="G30" s="15" t="n">
        <f aca="false">IFERROR(INDEX(Decisions!$K$2:$K$122,MATCH(E30,Decisions!$A$2:$A$122,0)),"")</f>
        <v>0</v>
      </c>
    </row>
    <row r="31" customFormat="false" ht="15" hidden="false" customHeight="false" outlineLevel="0" collapsed="false">
      <c r="A31" s="15" t="s">
        <v>453</v>
      </c>
      <c r="B31" s="15" t="s">
        <v>322</v>
      </c>
      <c r="C31" s="15" t="s">
        <v>446</v>
      </c>
      <c r="D31" s="15" t="s">
        <v>451</v>
      </c>
      <c r="E31" s="15" t="s">
        <v>104</v>
      </c>
      <c r="F31" s="23" t="s">
        <v>97</v>
      </c>
      <c r="G31" s="15" t="n">
        <f aca="false">IFERROR(INDEX(Decisions!$K$2:$K$122,MATCH(E31,Decisions!$A$2:$A$122,0)),"")</f>
        <v>0</v>
      </c>
    </row>
    <row r="32" customFormat="false" ht="15" hidden="false" customHeight="false" outlineLevel="0" collapsed="false">
      <c r="A32" s="15" t="s">
        <v>454</v>
      </c>
      <c r="B32" s="15" t="s">
        <v>322</v>
      </c>
      <c r="C32" s="15" t="s">
        <v>446</v>
      </c>
      <c r="D32" s="15" t="s">
        <v>451</v>
      </c>
      <c r="E32" s="15" t="s">
        <v>397</v>
      </c>
      <c r="F32" s="24" t="s">
        <v>173</v>
      </c>
      <c r="G32" s="15" t="n">
        <f aca="false">IFERROR(INDEX(Decisions!$K$2:$K$122,MATCH(E32,Decisions!$A$2:$A$122,0)),"")</f>
        <v>0</v>
      </c>
    </row>
    <row r="33" customFormat="false" ht="15" hidden="false" customHeight="false" outlineLevel="0" collapsed="false">
      <c r="A33" s="15" t="s">
        <v>455</v>
      </c>
      <c r="B33" s="15" t="s">
        <v>322</v>
      </c>
      <c r="C33" s="15" t="s">
        <v>446</v>
      </c>
      <c r="D33" s="15" t="s">
        <v>451</v>
      </c>
      <c r="E33" s="15" t="s">
        <v>201</v>
      </c>
      <c r="F33" s="24" t="s">
        <v>173</v>
      </c>
      <c r="G33" s="15" t="n">
        <f aca="false">IFERROR(INDEX(Decisions!$K$2:$K$122,MATCH(E33,Decisions!$A$2:$A$122,0)),"")</f>
        <v>0</v>
      </c>
    </row>
    <row r="34" customFormat="false" ht="15" hidden="false" customHeight="false" outlineLevel="0" collapsed="false">
      <c r="A34" s="15" t="s">
        <v>456</v>
      </c>
      <c r="B34" s="15" t="s">
        <v>322</v>
      </c>
      <c r="C34" s="15" t="s">
        <v>446</v>
      </c>
      <c r="D34" s="15" t="s">
        <v>451</v>
      </c>
      <c r="E34" s="15" t="s">
        <v>209</v>
      </c>
      <c r="F34" s="24" t="s">
        <v>173</v>
      </c>
      <c r="G34" s="15" t="n">
        <f aca="false">IFERROR(INDEX(Decisions!$K$2:$K$122,MATCH(E34,Decisions!$A$2:$A$122,0)),"")</f>
        <v>0</v>
      </c>
    </row>
    <row r="35" customFormat="false" ht="15" hidden="false" customHeight="false" outlineLevel="0" collapsed="false">
      <c r="A35" s="15" t="s">
        <v>457</v>
      </c>
      <c r="B35" s="15" t="s">
        <v>322</v>
      </c>
      <c r="C35" s="15" t="s">
        <v>446</v>
      </c>
      <c r="D35" s="15" t="s">
        <v>458</v>
      </c>
      <c r="E35" s="15" t="s">
        <v>191</v>
      </c>
      <c r="F35" s="24" t="s">
        <v>173</v>
      </c>
      <c r="G35" s="15" t="n">
        <f aca="false">IFERROR(INDEX(Decisions!$K$2:$K$122,MATCH(E35,Decisions!$A$2:$A$122,0)),"")</f>
        <v>0</v>
      </c>
    </row>
    <row r="36" customFormat="false" ht="15" hidden="false" customHeight="false" outlineLevel="0" collapsed="false">
      <c r="A36" s="15" t="s">
        <v>459</v>
      </c>
      <c r="B36" s="15" t="s">
        <v>322</v>
      </c>
      <c r="C36" s="15" t="s">
        <v>446</v>
      </c>
      <c r="D36" s="15" t="s">
        <v>458</v>
      </c>
      <c r="E36" s="15" t="s">
        <v>99</v>
      </c>
      <c r="F36" s="23" t="s">
        <v>97</v>
      </c>
      <c r="G36" s="15" t="n">
        <f aca="false">IFERROR(INDEX(Decisions!$K$2:$K$122,MATCH(E36,Decisions!$A$2:$A$122,0)),"")</f>
        <v>0</v>
      </c>
    </row>
    <row r="37" customFormat="false" ht="15" hidden="false" customHeight="false" outlineLevel="0" collapsed="false">
      <c r="A37" s="15" t="s">
        <v>460</v>
      </c>
      <c r="B37" s="15" t="s">
        <v>322</v>
      </c>
      <c r="C37" s="15" t="s">
        <v>446</v>
      </c>
      <c r="D37" s="15" t="s">
        <v>458</v>
      </c>
      <c r="E37" s="15" t="s">
        <v>108</v>
      </c>
      <c r="F37" s="23" t="s">
        <v>97</v>
      </c>
      <c r="G37" s="15" t="n">
        <f aca="false">IFERROR(INDEX(Decisions!$K$2:$K$122,MATCH(E37,Decisions!$A$2:$A$122,0)),"")</f>
        <v>0</v>
      </c>
    </row>
    <row r="38" customFormat="false" ht="15" hidden="false" customHeight="false" outlineLevel="0" collapsed="false">
      <c r="A38" s="15" t="s">
        <v>461</v>
      </c>
      <c r="B38" s="15" t="s">
        <v>322</v>
      </c>
      <c r="C38" s="15" t="s">
        <v>446</v>
      </c>
      <c r="D38" s="15" t="s">
        <v>458</v>
      </c>
      <c r="E38" s="15" t="s">
        <v>106</v>
      </c>
      <c r="F38" s="23" t="s">
        <v>97</v>
      </c>
      <c r="G38" s="15" t="n">
        <f aca="false">IFERROR(INDEX(Decisions!$K$2:$K$122,MATCH(E38,Decisions!$A$2:$A$122,0)),"")</f>
        <v>0</v>
      </c>
    </row>
    <row r="39" customFormat="false" ht="15" hidden="false" customHeight="false" outlineLevel="0" collapsed="false">
      <c r="A39" s="15" t="s">
        <v>462</v>
      </c>
      <c r="B39" s="15" t="s">
        <v>322</v>
      </c>
      <c r="C39" s="15" t="s">
        <v>446</v>
      </c>
      <c r="D39" s="15" t="s">
        <v>458</v>
      </c>
      <c r="E39" s="15" t="s">
        <v>194</v>
      </c>
      <c r="F39" s="24" t="s">
        <v>173</v>
      </c>
      <c r="G39" s="15" t="n">
        <f aca="false">IFERROR(INDEX(Decisions!$K$2:$K$122,MATCH(E39,Decisions!$A$2:$A$122,0)),"")</f>
        <v>0</v>
      </c>
    </row>
    <row r="40" customFormat="false" ht="15" hidden="false" customHeight="false" outlineLevel="0" collapsed="false">
      <c r="A40" s="15" t="s">
        <v>463</v>
      </c>
      <c r="B40" s="15" t="s">
        <v>322</v>
      </c>
      <c r="C40" s="15" t="s">
        <v>446</v>
      </c>
      <c r="D40" s="15" t="s">
        <v>458</v>
      </c>
      <c r="E40" s="15" t="s">
        <v>58</v>
      </c>
      <c r="F40" s="25" t="s">
        <v>26</v>
      </c>
      <c r="G40" s="15" t="str">
        <f aca="false">IFERROR(INDEX(Decisions!$K$2:$K$122,MATCH(E40,Decisions!$A$2:$A$122,0)),"")</f>
        <v>drop</v>
      </c>
    </row>
    <row r="41" customFormat="false" ht="15" hidden="false" customHeight="false" outlineLevel="0" collapsed="false">
      <c r="A41" s="15" t="s">
        <v>464</v>
      </c>
      <c r="B41" s="15" t="s">
        <v>322</v>
      </c>
      <c r="C41" s="15" t="s">
        <v>446</v>
      </c>
      <c r="D41" s="15" t="s">
        <v>458</v>
      </c>
      <c r="E41" s="15" t="s">
        <v>22</v>
      </c>
      <c r="F41" s="25" t="s">
        <v>26</v>
      </c>
      <c r="G41" s="15" t="str">
        <f aca="false">IFERROR(INDEX(Decisions!$K$2:$K$122,MATCH(E41,Decisions!$A$2:$A$122,0)),"")</f>
        <v>drop</v>
      </c>
    </row>
    <row r="42" customFormat="false" ht="15" hidden="false" customHeight="false" outlineLevel="0" collapsed="false">
      <c r="A42" s="15" t="s">
        <v>465</v>
      </c>
      <c r="B42" s="15" t="s">
        <v>322</v>
      </c>
      <c r="C42" s="15" t="s">
        <v>446</v>
      </c>
      <c r="D42" s="15" t="s">
        <v>466</v>
      </c>
      <c r="E42" s="15" t="s">
        <v>94</v>
      </c>
      <c r="F42" s="23" t="s">
        <v>97</v>
      </c>
      <c r="G42" s="15" t="n">
        <f aca="false">IFERROR(INDEX(Decisions!$K$2:$K$122,MATCH(E42,Decisions!$A$2:$A$122,0)),"")</f>
        <v>0</v>
      </c>
    </row>
    <row r="43" customFormat="false" ht="15" hidden="false" customHeight="false" outlineLevel="0" collapsed="false">
      <c r="A43" s="15" t="s">
        <v>467</v>
      </c>
      <c r="B43" s="15" t="s">
        <v>322</v>
      </c>
      <c r="C43" s="15" t="s">
        <v>446</v>
      </c>
      <c r="D43" s="15" t="s">
        <v>466</v>
      </c>
      <c r="E43" s="15" t="s">
        <v>215</v>
      </c>
      <c r="F43" s="24" t="s">
        <v>173</v>
      </c>
      <c r="G43" s="15" t="n">
        <f aca="false">IFERROR(INDEX(Decisions!$K$2:$K$122,MATCH(E43,Decisions!$A$2:$A$122,0)),"")</f>
        <v>0</v>
      </c>
    </row>
    <row r="44" customFormat="false" ht="15" hidden="false" customHeight="false" outlineLevel="0" collapsed="false">
      <c r="A44" s="15" t="s">
        <v>468</v>
      </c>
      <c r="B44" s="15" t="s">
        <v>322</v>
      </c>
      <c r="C44" s="15" t="s">
        <v>446</v>
      </c>
      <c r="D44" s="15" t="s">
        <v>466</v>
      </c>
      <c r="E44" s="15" t="s">
        <v>233</v>
      </c>
      <c r="F44" s="24" t="s">
        <v>173</v>
      </c>
      <c r="G44" s="15" t="n">
        <f aca="false">IFERROR(INDEX(Decisions!$K$2:$K$122,MATCH(E44,Decisions!$A$2:$A$122,0)),"")</f>
        <v>0</v>
      </c>
    </row>
    <row r="45" customFormat="false" ht="15" hidden="false" customHeight="false" outlineLevel="0" collapsed="false">
      <c r="A45" s="15" t="s">
        <v>469</v>
      </c>
      <c r="B45" s="15" t="s">
        <v>322</v>
      </c>
      <c r="C45" s="15" t="s">
        <v>446</v>
      </c>
      <c r="D45" s="15" t="s">
        <v>466</v>
      </c>
      <c r="E45" s="15" t="s">
        <v>183</v>
      </c>
      <c r="F45" s="24" t="s">
        <v>173</v>
      </c>
      <c r="G45" s="15" t="n">
        <f aca="false">IFERROR(INDEX(Decisions!$K$2:$K$122,MATCH(E45,Decisions!$A$2:$A$122,0)),"")</f>
        <v>0</v>
      </c>
    </row>
    <row r="46" customFormat="false" ht="15" hidden="false" customHeight="false" outlineLevel="0" collapsed="false">
      <c r="A46" s="15" t="s">
        <v>470</v>
      </c>
      <c r="B46" s="15" t="s">
        <v>322</v>
      </c>
      <c r="C46" s="15" t="s">
        <v>446</v>
      </c>
      <c r="D46" s="15" t="s">
        <v>471</v>
      </c>
      <c r="E46" s="15" t="s">
        <v>222</v>
      </c>
      <c r="F46" s="24" t="s">
        <v>173</v>
      </c>
      <c r="G46" s="15" t="n">
        <f aca="false">IFERROR(INDEX(Decisions!$K$2:$K$122,MATCH(E46,Decisions!$A$2:$A$122,0)),"")</f>
        <v>0</v>
      </c>
    </row>
    <row r="47" customFormat="false" ht="15" hidden="false" customHeight="false" outlineLevel="0" collapsed="false">
      <c r="A47" s="15" t="s">
        <v>472</v>
      </c>
      <c r="B47" s="15" t="s">
        <v>322</v>
      </c>
      <c r="C47" s="15" t="s">
        <v>446</v>
      </c>
      <c r="D47" s="15" t="s">
        <v>473</v>
      </c>
      <c r="E47" s="15" t="s">
        <v>222</v>
      </c>
      <c r="F47" s="24" t="s">
        <v>173</v>
      </c>
      <c r="G47" s="15" t="n">
        <f aca="false">IFERROR(INDEX(Decisions!$K$2:$K$122,MATCH(E47,Decisions!$A$2:$A$122,0)),"")</f>
        <v>0</v>
      </c>
    </row>
    <row r="48" customFormat="false" ht="15" hidden="false" customHeight="false" outlineLevel="0" collapsed="false">
      <c r="A48" s="15" t="s">
        <v>474</v>
      </c>
      <c r="B48" s="15" t="s">
        <v>322</v>
      </c>
      <c r="C48" s="15" t="s">
        <v>446</v>
      </c>
      <c r="D48" s="15" t="s">
        <v>475</v>
      </c>
      <c r="E48" s="15" t="s">
        <v>198</v>
      </c>
      <c r="F48" s="24" t="s">
        <v>173</v>
      </c>
      <c r="G48" s="15" t="n">
        <f aca="false">IFERROR(INDEX(Decisions!$K$2:$K$122,MATCH(E48,Decisions!$A$2:$A$122,0)),"")</f>
        <v>0</v>
      </c>
    </row>
    <row r="49" customFormat="false" ht="15" hidden="false" customHeight="false" outlineLevel="0" collapsed="false">
      <c r="A49" s="15" t="s">
        <v>476</v>
      </c>
      <c r="B49" s="15" t="s">
        <v>322</v>
      </c>
      <c r="C49" s="15" t="s">
        <v>477</v>
      </c>
      <c r="D49" s="15" t="s">
        <v>478</v>
      </c>
      <c r="E49" s="15" t="s">
        <v>177</v>
      </c>
      <c r="F49" s="24" t="s">
        <v>173</v>
      </c>
      <c r="G49" s="15" t="n">
        <f aca="false">IFERROR(INDEX(Decisions!$K$2:$K$122,MATCH(E49,Decisions!$A$2:$A$122,0)),"")</f>
        <v>0</v>
      </c>
    </row>
    <row r="50" customFormat="false" ht="15" hidden="false" customHeight="false" outlineLevel="0" collapsed="false">
      <c r="A50" s="15" t="s">
        <v>479</v>
      </c>
      <c r="B50" s="15" t="s">
        <v>322</v>
      </c>
      <c r="C50" s="15" t="s">
        <v>477</v>
      </c>
      <c r="D50" s="15" t="s">
        <v>480</v>
      </c>
      <c r="E50" s="15" t="s">
        <v>255</v>
      </c>
      <c r="F50" s="24" t="s">
        <v>173</v>
      </c>
      <c r="G50" s="15" t="n">
        <f aca="false">IFERROR(INDEX(Decisions!$K$2:$K$122,MATCH(E50,Decisions!$A$2:$A$122,0)),"")</f>
        <v>0</v>
      </c>
    </row>
    <row r="51" customFormat="false" ht="15" hidden="false" customHeight="false" outlineLevel="0" collapsed="false">
      <c r="A51" s="15" t="s">
        <v>481</v>
      </c>
      <c r="B51" s="15" t="s">
        <v>322</v>
      </c>
      <c r="C51" s="15" t="s">
        <v>477</v>
      </c>
      <c r="D51" s="15" t="s">
        <v>480</v>
      </c>
      <c r="E51" s="15" t="s">
        <v>235</v>
      </c>
      <c r="F51" s="24" t="s">
        <v>173</v>
      </c>
      <c r="G51" s="15" t="n">
        <f aca="false">IFERROR(INDEX(Decisions!$K$2:$K$122,MATCH(E51,Decisions!$A$2:$A$122,0)),"")</f>
        <v>0</v>
      </c>
    </row>
    <row r="52" customFormat="false" ht="15" hidden="false" customHeight="false" outlineLevel="0" collapsed="false">
      <c r="A52" s="15" t="s">
        <v>482</v>
      </c>
      <c r="B52" s="15" t="s">
        <v>322</v>
      </c>
      <c r="C52" s="15" t="s">
        <v>477</v>
      </c>
      <c r="D52" s="15" t="s">
        <v>480</v>
      </c>
      <c r="E52" s="15" t="s">
        <v>228</v>
      </c>
      <c r="F52" s="24" t="s">
        <v>173</v>
      </c>
      <c r="G52" s="15" t="n">
        <f aca="false">IFERROR(INDEX(Decisions!$K$2:$K$122,MATCH(E52,Decisions!$A$2:$A$122,0)),"")</f>
        <v>0</v>
      </c>
    </row>
    <row r="53" customFormat="false" ht="15" hidden="false" customHeight="false" outlineLevel="0" collapsed="false">
      <c r="A53" s="15" t="s">
        <v>483</v>
      </c>
      <c r="B53" s="15" t="s">
        <v>322</v>
      </c>
      <c r="C53" s="15" t="s">
        <v>477</v>
      </c>
      <c r="D53" s="15" t="s">
        <v>480</v>
      </c>
      <c r="E53" s="15" t="s">
        <v>212</v>
      </c>
      <c r="F53" s="24" t="s">
        <v>173</v>
      </c>
      <c r="G53" s="15" t="n">
        <f aca="false">IFERROR(INDEX(Decisions!$K$2:$K$122,MATCH(E53,Decisions!$A$2:$A$122,0)),"")</f>
        <v>0</v>
      </c>
    </row>
    <row r="54" customFormat="false" ht="15" hidden="false" customHeight="false" outlineLevel="0" collapsed="false">
      <c r="A54" s="15" t="s">
        <v>484</v>
      </c>
      <c r="B54" s="15" t="s">
        <v>322</v>
      </c>
      <c r="C54" s="15" t="s">
        <v>477</v>
      </c>
      <c r="D54" s="15" t="s">
        <v>480</v>
      </c>
      <c r="E54" s="15" t="s">
        <v>187</v>
      </c>
      <c r="F54" s="24" t="s">
        <v>173</v>
      </c>
      <c r="G54" s="15" t="n">
        <f aca="false">IFERROR(INDEX(Decisions!$K$2:$K$122,MATCH(E54,Decisions!$A$2:$A$122,0)),"")</f>
        <v>0</v>
      </c>
    </row>
    <row r="55" customFormat="false" ht="15" hidden="false" customHeight="false" outlineLevel="0" collapsed="false">
      <c r="A55" s="15" t="s">
        <v>485</v>
      </c>
      <c r="B55" s="15" t="s">
        <v>322</v>
      </c>
      <c r="C55" s="15" t="s">
        <v>477</v>
      </c>
      <c r="D55" s="15" t="s">
        <v>480</v>
      </c>
      <c r="E55" s="15" t="s">
        <v>170</v>
      </c>
      <c r="F55" s="24" t="s">
        <v>173</v>
      </c>
      <c r="G55" s="15" t="n">
        <f aca="false">IFERROR(INDEX(Decisions!$K$2:$K$122,MATCH(E55,Decisions!$A$2:$A$122,0)),"")</f>
        <v>0</v>
      </c>
    </row>
    <row r="56" customFormat="false" ht="15" hidden="false" customHeight="false" outlineLevel="0" collapsed="false">
      <c r="A56" s="15" t="s">
        <v>486</v>
      </c>
      <c r="B56" s="15" t="s">
        <v>322</v>
      </c>
      <c r="C56" s="15" t="s">
        <v>487</v>
      </c>
      <c r="D56" s="15" t="s">
        <v>488</v>
      </c>
      <c r="E56" s="15" t="s">
        <v>328</v>
      </c>
      <c r="F56" s="24" t="s">
        <v>173</v>
      </c>
      <c r="G56" s="15" t="n">
        <f aca="false">IFERROR(INDEX(Decisions!$K$2:$K$122,MATCH(E56,Decisions!$A$2:$A$122,0)),"")</f>
        <v>0</v>
      </c>
    </row>
    <row r="57" customFormat="false" ht="15" hidden="false" customHeight="false" outlineLevel="0" collapsed="false">
      <c r="A57" s="15" t="s">
        <v>489</v>
      </c>
      <c r="B57" s="15" t="s">
        <v>322</v>
      </c>
      <c r="C57" s="15" t="s">
        <v>487</v>
      </c>
      <c r="D57" s="15" t="s">
        <v>488</v>
      </c>
      <c r="E57" s="15" t="s">
        <v>402</v>
      </c>
      <c r="F57" s="24" t="s">
        <v>173</v>
      </c>
      <c r="G57" s="15" t="n">
        <f aca="false">IFERROR(INDEX(Decisions!$K$2:$K$122,MATCH(E57,Decisions!$A$2:$A$122,0)),"")</f>
        <v>0</v>
      </c>
    </row>
    <row r="58" customFormat="false" ht="15" hidden="false" customHeight="false" outlineLevel="0" collapsed="false">
      <c r="A58" s="15" t="s">
        <v>490</v>
      </c>
      <c r="B58" s="15" t="s">
        <v>322</v>
      </c>
      <c r="C58" s="15" t="s">
        <v>491</v>
      </c>
      <c r="D58" s="15" t="s">
        <v>492</v>
      </c>
      <c r="E58" s="15" t="s">
        <v>113</v>
      </c>
      <c r="F58" s="23" t="s">
        <v>97</v>
      </c>
      <c r="G58" s="15" t="n">
        <f aca="false">IFERROR(INDEX(Decisions!$K$2:$K$122,MATCH(E58,Decisions!$A$2:$A$122,0)),"")</f>
        <v>0</v>
      </c>
    </row>
    <row r="59" customFormat="false" ht="15" hidden="false" customHeight="false" outlineLevel="0" collapsed="false">
      <c r="A59" s="15" t="s">
        <v>493</v>
      </c>
      <c r="B59" s="15" t="s">
        <v>322</v>
      </c>
      <c r="C59" s="15" t="s">
        <v>491</v>
      </c>
      <c r="D59" s="15" t="s">
        <v>492</v>
      </c>
      <c r="E59" s="15" t="s">
        <v>116</v>
      </c>
      <c r="F59" s="23" t="s">
        <v>97</v>
      </c>
      <c r="G59" s="15" t="n">
        <f aca="false">IFERROR(INDEX(Decisions!$K$2:$K$122,MATCH(E59,Decisions!$A$2:$A$122,0)),"")</f>
        <v>0</v>
      </c>
    </row>
    <row r="60" customFormat="false" ht="15" hidden="false" customHeight="false" outlineLevel="0" collapsed="false">
      <c r="A60" s="15" t="s">
        <v>494</v>
      </c>
      <c r="B60" s="15" t="s">
        <v>322</v>
      </c>
      <c r="C60" s="15" t="s">
        <v>491</v>
      </c>
      <c r="D60" s="15" t="s">
        <v>492</v>
      </c>
      <c r="E60" s="15" t="s">
        <v>225</v>
      </c>
      <c r="F60" s="24" t="s">
        <v>173</v>
      </c>
      <c r="G60" s="15" t="n">
        <f aca="false">IFERROR(INDEX(Decisions!$K$2:$K$122,MATCH(E60,Decisions!$A$2:$A$122,0)),"")</f>
        <v>0</v>
      </c>
    </row>
    <row r="61" customFormat="false" ht="15" hidden="false" customHeight="false" outlineLevel="0" collapsed="false">
      <c r="A61" s="15" t="s">
        <v>495</v>
      </c>
      <c r="B61" s="15" t="s">
        <v>322</v>
      </c>
      <c r="C61" s="15" t="s">
        <v>491</v>
      </c>
      <c r="D61" s="15" t="s">
        <v>492</v>
      </c>
      <c r="E61" s="15" t="s">
        <v>231</v>
      </c>
      <c r="F61" s="24" t="s">
        <v>173</v>
      </c>
      <c r="G61" s="15" t="n">
        <f aca="false">IFERROR(INDEX(Decisions!$K$2:$K$122,MATCH(E61,Decisions!$A$2:$A$122,0)),"")</f>
        <v>0</v>
      </c>
    </row>
    <row r="62" customFormat="false" ht="15" hidden="false" customHeight="false" outlineLevel="0" collapsed="false">
      <c r="A62" s="15" t="s">
        <v>496</v>
      </c>
      <c r="B62" s="15" t="s">
        <v>322</v>
      </c>
      <c r="C62" s="15" t="s">
        <v>491</v>
      </c>
      <c r="D62" s="15" t="s">
        <v>492</v>
      </c>
      <c r="E62" s="15" t="s">
        <v>218</v>
      </c>
      <c r="F62" s="24" t="s">
        <v>173</v>
      </c>
      <c r="G62" s="15" t="n">
        <f aca="false">IFERROR(INDEX(Decisions!$K$2:$K$122,MATCH(E62,Decisions!$A$2:$A$122,0)),"")</f>
        <v>0</v>
      </c>
    </row>
    <row r="63" customFormat="false" ht="15" hidden="false" customHeight="false" outlineLevel="0" collapsed="false">
      <c r="A63" s="15" t="s">
        <v>497</v>
      </c>
      <c r="B63" s="15" t="s">
        <v>322</v>
      </c>
      <c r="C63" s="15" t="s">
        <v>491</v>
      </c>
      <c r="D63" s="15" t="s">
        <v>492</v>
      </c>
      <c r="E63" s="15" t="s">
        <v>259</v>
      </c>
      <c r="F63" s="24" t="s">
        <v>173</v>
      </c>
      <c r="G63" s="15" t="n">
        <f aca="false">IFERROR(INDEX(Decisions!$K$2:$K$122,MATCH(E63,Decisions!$A$2:$A$122,0)),"")</f>
        <v>0</v>
      </c>
    </row>
    <row r="64" customFormat="false" ht="15" hidden="false" customHeight="false" outlineLevel="0" collapsed="false">
      <c r="A64" s="15" t="s">
        <v>498</v>
      </c>
      <c r="B64" s="15" t="s">
        <v>322</v>
      </c>
      <c r="C64" s="15" t="s">
        <v>491</v>
      </c>
      <c r="D64" s="15" t="s">
        <v>492</v>
      </c>
      <c r="E64" s="15" t="s">
        <v>394</v>
      </c>
      <c r="F64" s="24" t="s">
        <v>173</v>
      </c>
      <c r="G64" s="15" t="n">
        <f aca="false">IFERROR(INDEX(Decisions!$K$2:$K$122,MATCH(E64,Decisions!$A$2:$A$122,0)),"")</f>
        <v>0</v>
      </c>
    </row>
    <row r="65" customFormat="false" ht="15" hidden="false" customHeight="false" outlineLevel="0" collapsed="false">
      <c r="A65" s="15" t="s">
        <v>499</v>
      </c>
      <c r="B65" s="15" t="s">
        <v>322</v>
      </c>
      <c r="C65" s="15" t="s">
        <v>491</v>
      </c>
      <c r="D65" s="15" t="s">
        <v>492</v>
      </c>
      <c r="E65" s="15" t="s">
        <v>118</v>
      </c>
      <c r="F65" s="23" t="s">
        <v>97</v>
      </c>
      <c r="G65" s="15" t="n">
        <f aca="false">IFERROR(INDEX(Decisions!$K$2:$K$122,MATCH(E65,Decisions!$A$2:$A$122,0)),"")</f>
        <v>0</v>
      </c>
    </row>
    <row r="66" customFormat="false" ht="15" hidden="false" customHeight="false" outlineLevel="0" collapsed="false">
      <c r="A66" s="15" t="s">
        <v>500</v>
      </c>
      <c r="B66" s="15" t="s">
        <v>322</v>
      </c>
      <c r="C66" s="15" t="s">
        <v>501</v>
      </c>
      <c r="D66" s="15" t="s">
        <v>502</v>
      </c>
      <c r="E66" s="15" t="s">
        <v>191</v>
      </c>
      <c r="F66" s="24" t="s">
        <v>173</v>
      </c>
      <c r="G66" s="15" t="n">
        <f aca="false">IFERROR(INDEX(Decisions!$K$2:$K$122,MATCH(E66,Decisions!$A$2:$A$122,0)),"")</f>
        <v>0</v>
      </c>
    </row>
    <row r="67" customFormat="false" ht="15" hidden="false" customHeight="false" outlineLevel="0" collapsed="false">
      <c r="A67" s="15" t="s">
        <v>503</v>
      </c>
      <c r="B67" s="15" t="s">
        <v>322</v>
      </c>
      <c r="C67" s="15" t="s">
        <v>501</v>
      </c>
      <c r="D67" s="15" t="s">
        <v>502</v>
      </c>
      <c r="E67" s="15" t="s">
        <v>99</v>
      </c>
      <c r="F67" s="23" t="s">
        <v>97</v>
      </c>
      <c r="G67" s="15" t="n">
        <f aca="false">IFERROR(INDEX(Decisions!$K$2:$K$122,MATCH(E67,Decisions!$A$2:$A$122,0)),"")</f>
        <v>0</v>
      </c>
    </row>
    <row r="68" customFormat="false" ht="15" hidden="false" customHeight="false" outlineLevel="0" collapsed="false">
      <c r="A68" s="15" t="s">
        <v>504</v>
      </c>
      <c r="B68" s="15" t="s">
        <v>322</v>
      </c>
      <c r="C68" s="15" t="s">
        <v>501</v>
      </c>
      <c r="D68" s="15" t="s">
        <v>502</v>
      </c>
      <c r="E68" s="15" t="s">
        <v>108</v>
      </c>
      <c r="F68" s="23" t="s">
        <v>97</v>
      </c>
      <c r="G68" s="15" t="n">
        <f aca="false">IFERROR(INDEX(Decisions!$K$2:$K$122,MATCH(E68,Decisions!$A$2:$A$122,0)),"")</f>
        <v>0</v>
      </c>
    </row>
    <row r="69" customFormat="false" ht="15" hidden="false" customHeight="false" outlineLevel="0" collapsed="false">
      <c r="A69" s="15" t="s">
        <v>505</v>
      </c>
      <c r="B69" s="15" t="s">
        <v>322</v>
      </c>
      <c r="C69" s="15" t="s">
        <v>501</v>
      </c>
      <c r="D69" s="15" t="s">
        <v>502</v>
      </c>
      <c r="E69" s="15" t="s">
        <v>106</v>
      </c>
      <c r="F69" s="23" t="s">
        <v>97</v>
      </c>
      <c r="G69" s="15" t="n">
        <f aca="false">IFERROR(INDEX(Decisions!$K$2:$K$122,MATCH(E69,Decisions!$A$2:$A$122,0)),"")</f>
        <v>0</v>
      </c>
    </row>
    <row r="70" customFormat="false" ht="15" hidden="false" customHeight="false" outlineLevel="0" collapsed="false">
      <c r="A70" s="15" t="s">
        <v>506</v>
      </c>
      <c r="B70" s="15" t="s">
        <v>322</v>
      </c>
      <c r="C70" s="15" t="s">
        <v>501</v>
      </c>
      <c r="D70" s="15" t="s">
        <v>502</v>
      </c>
      <c r="E70" s="15" t="s">
        <v>194</v>
      </c>
      <c r="F70" s="24" t="s">
        <v>173</v>
      </c>
      <c r="G70" s="15" t="n">
        <f aca="false">IFERROR(INDEX(Decisions!$K$2:$K$122,MATCH(E70,Decisions!$A$2:$A$122,0)),"")</f>
        <v>0</v>
      </c>
    </row>
    <row r="71" customFormat="false" ht="15" hidden="false" customHeight="false" outlineLevel="0" collapsed="false">
      <c r="A71" s="15" t="s">
        <v>507</v>
      </c>
      <c r="B71" s="15" t="s">
        <v>322</v>
      </c>
      <c r="C71" s="15" t="s">
        <v>501</v>
      </c>
      <c r="D71" s="15" t="s">
        <v>502</v>
      </c>
      <c r="E71" s="15" t="s">
        <v>58</v>
      </c>
      <c r="F71" s="25" t="s">
        <v>26</v>
      </c>
      <c r="G71" s="15" t="str">
        <f aca="false">IFERROR(INDEX(Decisions!$K$2:$K$122,MATCH(E71,Decisions!$A$2:$A$122,0)),"")</f>
        <v>drop</v>
      </c>
    </row>
    <row r="72" customFormat="false" ht="15" hidden="false" customHeight="false" outlineLevel="0" collapsed="false">
      <c r="A72" s="15" t="s">
        <v>508</v>
      </c>
      <c r="B72" s="15" t="s">
        <v>322</v>
      </c>
      <c r="C72" s="15" t="s">
        <v>501</v>
      </c>
      <c r="D72" s="15" t="s">
        <v>502</v>
      </c>
      <c r="E72" s="15" t="s">
        <v>22</v>
      </c>
      <c r="F72" s="25" t="s">
        <v>26</v>
      </c>
      <c r="G72" s="15" t="str">
        <f aca="false">IFERROR(INDEX(Decisions!$K$2:$K$122,MATCH(E72,Decisions!$A$2:$A$122,0)),"")</f>
        <v>drop</v>
      </c>
    </row>
    <row r="73" customFormat="false" ht="15" hidden="false" customHeight="false" outlineLevel="0" collapsed="false">
      <c r="A73" s="15" t="s">
        <v>509</v>
      </c>
      <c r="B73" s="15" t="s">
        <v>322</v>
      </c>
      <c r="C73" s="15" t="s">
        <v>501</v>
      </c>
      <c r="D73" s="15" t="s">
        <v>510</v>
      </c>
      <c r="E73" s="15" t="s">
        <v>191</v>
      </c>
      <c r="F73" s="24" t="s">
        <v>173</v>
      </c>
      <c r="G73" s="15" t="n">
        <f aca="false">IFERROR(INDEX(Decisions!$K$2:$K$122,MATCH(E73,Decisions!$A$2:$A$122,0)),"")</f>
        <v>0</v>
      </c>
    </row>
    <row r="74" customFormat="false" ht="15" hidden="false" customHeight="false" outlineLevel="0" collapsed="false">
      <c r="A74" s="15" t="s">
        <v>511</v>
      </c>
      <c r="B74" s="15" t="s">
        <v>322</v>
      </c>
      <c r="C74" s="15" t="s">
        <v>501</v>
      </c>
      <c r="D74" s="15" t="s">
        <v>510</v>
      </c>
      <c r="E74" s="15" t="s">
        <v>99</v>
      </c>
      <c r="F74" s="23" t="s">
        <v>97</v>
      </c>
      <c r="G74" s="15" t="n">
        <f aca="false">IFERROR(INDEX(Decisions!$K$2:$K$122,MATCH(E74,Decisions!$A$2:$A$122,0)),"")</f>
        <v>0</v>
      </c>
    </row>
    <row r="75" customFormat="false" ht="15" hidden="false" customHeight="false" outlineLevel="0" collapsed="false">
      <c r="A75" s="15" t="s">
        <v>512</v>
      </c>
      <c r="B75" s="15" t="s">
        <v>322</v>
      </c>
      <c r="C75" s="15" t="s">
        <v>501</v>
      </c>
      <c r="D75" s="15" t="s">
        <v>510</v>
      </c>
      <c r="E75" s="15" t="s">
        <v>108</v>
      </c>
      <c r="F75" s="23" t="s">
        <v>97</v>
      </c>
      <c r="G75" s="15" t="n">
        <f aca="false">IFERROR(INDEX(Decisions!$K$2:$K$122,MATCH(E75,Decisions!$A$2:$A$122,0)),"")</f>
        <v>0</v>
      </c>
    </row>
    <row r="76" customFormat="false" ht="15" hidden="false" customHeight="false" outlineLevel="0" collapsed="false">
      <c r="A76" s="15" t="s">
        <v>513</v>
      </c>
      <c r="B76" s="15" t="s">
        <v>322</v>
      </c>
      <c r="C76" s="15" t="s">
        <v>501</v>
      </c>
      <c r="D76" s="15" t="s">
        <v>510</v>
      </c>
      <c r="E76" s="15" t="s">
        <v>106</v>
      </c>
      <c r="F76" s="23" t="s">
        <v>97</v>
      </c>
      <c r="G76" s="15" t="n">
        <f aca="false">IFERROR(INDEX(Decisions!$K$2:$K$122,MATCH(E76,Decisions!$A$2:$A$122,0)),"")</f>
        <v>0</v>
      </c>
    </row>
    <row r="77" customFormat="false" ht="15" hidden="false" customHeight="false" outlineLevel="0" collapsed="false">
      <c r="A77" s="15" t="s">
        <v>514</v>
      </c>
      <c r="B77" s="15" t="s">
        <v>322</v>
      </c>
      <c r="C77" s="15" t="s">
        <v>501</v>
      </c>
      <c r="D77" s="15" t="s">
        <v>510</v>
      </c>
      <c r="E77" s="15" t="s">
        <v>194</v>
      </c>
      <c r="F77" s="24" t="s">
        <v>173</v>
      </c>
      <c r="G77" s="15" t="n">
        <f aca="false">IFERROR(INDEX(Decisions!$K$2:$K$122,MATCH(E77,Decisions!$A$2:$A$122,0)),"")</f>
        <v>0</v>
      </c>
    </row>
    <row r="78" customFormat="false" ht="15" hidden="false" customHeight="false" outlineLevel="0" collapsed="false">
      <c r="A78" s="15" t="s">
        <v>515</v>
      </c>
      <c r="B78" s="15" t="s">
        <v>322</v>
      </c>
      <c r="C78" s="15" t="s">
        <v>501</v>
      </c>
      <c r="D78" s="15" t="s">
        <v>516</v>
      </c>
      <c r="E78" s="15" t="s">
        <v>191</v>
      </c>
      <c r="F78" s="24" t="s">
        <v>173</v>
      </c>
      <c r="G78" s="15" t="n">
        <f aca="false">IFERROR(INDEX(Decisions!$K$2:$K$122,MATCH(E78,Decisions!$A$2:$A$122,0)),"")</f>
        <v>0</v>
      </c>
    </row>
    <row r="79" customFormat="false" ht="15" hidden="false" customHeight="false" outlineLevel="0" collapsed="false">
      <c r="A79" s="15" t="s">
        <v>517</v>
      </c>
      <c r="B79" s="15" t="s">
        <v>322</v>
      </c>
      <c r="C79" s="15" t="s">
        <v>501</v>
      </c>
      <c r="D79" s="15" t="s">
        <v>516</v>
      </c>
      <c r="E79" s="15" t="s">
        <v>99</v>
      </c>
      <c r="F79" s="23" t="s">
        <v>97</v>
      </c>
      <c r="G79" s="15" t="n">
        <f aca="false">IFERROR(INDEX(Decisions!$K$2:$K$122,MATCH(E79,Decisions!$A$2:$A$122,0)),"")</f>
        <v>0</v>
      </c>
    </row>
    <row r="80" customFormat="false" ht="15" hidden="false" customHeight="false" outlineLevel="0" collapsed="false">
      <c r="A80" s="15" t="s">
        <v>518</v>
      </c>
      <c r="B80" s="15" t="s">
        <v>322</v>
      </c>
      <c r="C80" s="15" t="s">
        <v>501</v>
      </c>
      <c r="D80" s="15" t="s">
        <v>516</v>
      </c>
      <c r="E80" s="15" t="s">
        <v>108</v>
      </c>
      <c r="F80" s="23" t="s">
        <v>97</v>
      </c>
      <c r="G80" s="15" t="n">
        <f aca="false">IFERROR(INDEX(Decisions!$K$2:$K$122,MATCH(E80,Decisions!$A$2:$A$122,0)),"")</f>
        <v>0</v>
      </c>
    </row>
    <row r="81" customFormat="false" ht="15" hidden="false" customHeight="false" outlineLevel="0" collapsed="false">
      <c r="A81" s="15" t="s">
        <v>519</v>
      </c>
      <c r="B81" s="15" t="s">
        <v>322</v>
      </c>
      <c r="C81" s="15" t="s">
        <v>501</v>
      </c>
      <c r="D81" s="15" t="s">
        <v>516</v>
      </c>
      <c r="E81" s="15" t="s">
        <v>106</v>
      </c>
      <c r="F81" s="23" t="s">
        <v>97</v>
      </c>
      <c r="G81" s="15" t="n">
        <f aca="false">IFERROR(INDEX(Decisions!$K$2:$K$122,MATCH(E81,Decisions!$A$2:$A$122,0)),"")</f>
        <v>0</v>
      </c>
    </row>
    <row r="82" customFormat="false" ht="15" hidden="false" customHeight="false" outlineLevel="0" collapsed="false">
      <c r="A82" s="15" t="s">
        <v>520</v>
      </c>
      <c r="B82" s="15" t="s">
        <v>322</v>
      </c>
      <c r="C82" s="15" t="s">
        <v>501</v>
      </c>
      <c r="D82" s="15" t="s">
        <v>516</v>
      </c>
      <c r="E82" s="15" t="s">
        <v>194</v>
      </c>
      <c r="F82" s="24" t="s">
        <v>173</v>
      </c>
      <c r="G82" s="15" t="n">
        <f aca="false">IFERROR(INDEX(Decisions!$K$2:$K$122,MATCH(E82,Decisions!$A$2:$A$122,0)),"")</f>
        <v>0</v>
      </c>
    </row>
    <row r="83" customFormat="false" ht="15" hidden="false" customHeight="false" outlineLevel="0" collapsed="false">
      <c r="A83" s="15" t="s">
        <v>521</v>
      </c>
      <c r="B83" s="15" t="s">
        <v>322</v>
      </c>
      <c r="C83" s="15" t="s">
        <v>501</v>
      </c>
      <c r="D83" s="15" t="s">
        <v>516</v>
      </c>
      <c r="E83" s="15" t="s">
        <v>58</v>
      </c>
      <c r="F83" s="25" t="s">
        <v>26</v>
      </c>
      <c r="G83" s="15" t="str">
        <f aca="false">IFERROR(INDEX(Decisions!$K$2:$K$122,MATCH(E83,Decisions!$A$2:$A$122,0)),"")</f>
        <v>drop</v>
      </c>
    </row>
    <row r="84" customFormat="false" ht="15" hidden="false" customHeight="false" outlineLevel="0" collapsed="false">
      <c r="A84" s="15" t="s">
        <v>522</v>
      </c>
      <c r="B84" s="15" t="s">
        <v>322</v>
      </c>
      <c r="C84" s="15" t="s">
        <v>501</v>
      </c>
      <c r="D84" s="15" t="s">
        <v>516</v>
      </c>
      <c r="E84" s="15" t="s">
        <v>22</v>
      </c>
      <c r="F84" s="25" t="s">
        <v>26</v>
      </c>
      <c r="G84" s="15" t="str">
        <f aca="false">IFERROR(INDEX(Decisions!$K$2:$K$122,MATCH(E84,Decisions!$A$2:$A$122,0)),"")</f>
        <v>drop</v>
      </c>
    </row>
    <row r="85" customFormat="false" ht="15" hidden="false" customHeight="false" outlineLevel="0" collapsed="false">
      <c r="A85" s="15" t="s">
        <v>523</v>
      </c>
      <c r="B85" s="15" t="s">
        <v>322</v>
      </c>
      <c r="C85" s="15" t="s">
        <v>501</v>
      </c>
      <c r="D85" s="15" t="s">
        <v>524</v>
      </c>
      <c r="E85" s="15" t="s">
        <v>191</v>
      </c>
      <c r="F85" s="24" t="s">
        <v>173</v>
      </c>
      <c r="G85" s="15" t="n">
        <f aca="false">IFERROR(INDEX(Decisions!$K$2:$K$122,MATCH(E85,Decisions!$A$2:$A$122,0)),"")</f>
        <v>0</v>
      </c>
    </row>
    <row r="86" customFormat="false" ht="15" hidden="false" customHeight="false" outlineLevel="0" collapsed="false">
      <c r="A86" s="15" t="s">
        <v>525</v>
      </c>
      <c r="B86" s="15" t="s">
        <v>322</v>
      </c>
      <c r="C86" s="15" t="s">
        <v>501</v>
      </c>
      <c r="D86" s="15" t="s">
        <v>524</v>
      </c>
      <c r="E86" s="15" t="s">
        <v>99</v>
      </c>
      <c r="F86" s="23" t="s">
        <v>97</v>
      </c>
      <c r="G86" s="15" t="n">
        <f aca="false">IFERROR(INDEX(Decisions!$K$2:$K$122,MATCH(E86,Decisions!$A$2:$A$122,0)),"")</f>
        <v>0</v>
      </c>
    </row>
    <row r="87" customFormat="false" ht="15" hidden="false" customHeight="false" outlineLevel="0" collapsed="false">
      <c r="A87" s="15" t="s">
        <v>526</v>
      </c>
      <c r="B87" s="15" t="s">
        <v>322</v>
      </c>
      <c r="C87" s="15" t="s">
        <v>501</v>
      </c>
      <c r="D87" s="15" t="s">
        <v>524</v>
      </c>
      <c r="E87" s="15" t="s">
        <v>108</v>
      </c>
      <c r="F87" s="23" t="s">
        <v>97</v>
      </c>
      <c r="G87" s="15" t="n">
        <f aca="false">IFERROR(INDEX(Decisions!$K$2:$K$122,MATCH(E87,Decisions!$A$2:$A$122,0)),"")</f>
        <v>0</v>
      </c>
    </row>
    <row r="88" customFormat="false" ht="15" hidden="false" customHeight="false" outlineLevel="0" collapsed="false">
      <c r="A88" s="15" t="s">
        <v>527</v>
      </c>
      <c r="B88" s="15" t="s">
        <v>322</v>
      </c>
      <c r="C88" s="15" t="s">
        <v>501</v>
      </c>
      <c r="D88" s="15" t="s">
        <v>524</v>
      </c>
      <c r="E88" s="15" t="s">
        <v>106</v>
      </c>
      <c r="F88" s="23" t="s">
        <v>97</v>
      </c>
      <c r="G88" s="15" t="n">
        <f aca="false">IFERROR(INDEX(Decisions!$K$2:$K$122,MATCH(E88,Decisions!$A$2:$A$122,0)),"")</f>
        <v>0</v>
      </c>
    </row>
    <row r="89" customFormat="false" ht="15" hidden="false" customHeight="false" outlineLevel="0" collapsed="false">
      <c r="A89" s="15" t="s">
        <v>528</v>
      </c>
      <c r="B89" s="15" t="s">
        <v>322</v>
      </c>
      <c r="C89" s="15" t="s">
        <v>501</v>
      </c>
      <c r="D89" s="15" t="s">
        <v>524</v>
      </c>
      <c r="E89" s="15" t="s">
        <v>58</v>
      </c>
      <c r="F89" s="25" t="s">
        <v>26</v>
      </c>
      <c r="G89" s="15" t="str">
        <f aca="false">IFERROR(INDEX(Decisions!$K$2:$K$122,MATCH(E89,Decisions!$A$2:$A$122,0)),"")</f>
        <v>drop</v>
      </c>
    </row>
    <row r="90" customFormat="false" ht="15" hidden="false" customHeight="false" outlineLevel="0" collapsed="false">
      <c r="A90" s="15" t="s">
        <v>529</v>
      </c>
      <c r="B90" s="15" t="s">
        <v>322</v>
      </c>
      <c r="C90" s="15" t="s">
        <v>501</v>
      </c>
      <c r="D90" s="15" t="s">
        <v>530</v>
      </c>
      <c r="E90" s="15" t="s">
        <v>191</v>
      </c>
      <c r="F90" s="24" t="s">
        <v>173</v>
      </c>
      <c r="G90" s="15" t="n">
        <f aca="false">IFERROR(INDEX(Decisions!$K$2:$K$122,MATCH(E90,Decisions!$A$2:$A$122,0)),"")</f>
        <v>0</v>
      </c>
    </row>
    <row r="91" customFormat="false" ht="15" hidden="false" customHeight="false" outlineLevel="0" collapsed="false">
      <c r="A91" s="15" t="s">
        <v>531</v>
      </c>
      <c r="B91" s="15" t="s">
        <v>322</v>
      </c>
      <c r="C91" s="15" t="s">
        <v>501</v>
      </c>
      <c r="D91" s="15" t="s">
        <v>530</v>
      </c>
      <c r="E91" s="15" t="s">
        <v>99</v>
      </c>
      <c r="F91" s="23" t="s">
        <v>97</v>
      </c>
      <c r="G91" s="15" t="n">
        <f aca="false">IFERROR(INDEX(Decisions!$K$2:$K$122,MATCH(E91,Decisions!$A$2:$A$122,0)),"")</f>
        <v>0</v>
      </c>
    </row>
    <row r="92" customFormat="false" ht="15" hidden="false" customHeight="false" outlineLevel="0" collapsed="false">
      <c r="A92" s="15" t="s">
        <v>532</v>
      </c>
      <c r="B92" s="15" t="s">
        <v>322</v>
      </c>
      <c r="C92" s="15" t="s">
        <v>501</v>
      </c>
      <c r="D92" s="15" t="s">
        <v>530</v>
      </c>
      <c r="E92" s="15" t="s">
        <v>108</v>
      </c>
      <c r="F92" s="23" t="s">
        <v>97</v>
      </c>
      <c r="G92" s="15" t="n">
        <f aca="false">IFERROR(INDEX(Decisions!$K$2:$K$122,MATCH(E92,Decisions!$A$2:$A$122,0)),"")</f>
        <v>0</v>
      </c>
    </row>
    <row r="93" customFormat="false" ht="15" hidden="false" customHeight="false" outlineLevel="0" collapsed="false">
      <c r="A93" s="15" t="s">
        <v>533</v>
      </c>
      <c r="B93" s="15" t="s">
        <v>322</v>
      </c>
      <c r="C93" s="15" t="s">
        <v>501</v>
      </c>
      <c r="D93" s="15" t="s">
        <v>530</v>
      </c>
      <c r="E93" s="15" t="s">
        <v>106</v>
      </c>
      <c r="F93" s="23" t="s">
        <v>97</v>
      </c>
      <c r="G93" s="15" t="n">
        <f aca="false">IFERROR(INDEX(Decisions!$K$2:$K$122,MATCH(E93,Decisions!$A$2:$A$122,0)),"")</f>
        <v>0</v>
      </c>
    </row>
    <row r="94" customFormat="false" ht="15" hidden="false" customHeight="false" outlineLevel="0" collapsed="false">
      <c r="A94" s="15" t="s">
        <v>534</v>
      </c>
      <c r="B94" s="15" t="s">
        <v>322</v>
      </c>
      <c r="C94" s="15" t="s">
        <v>501</v>
      </c>
      <c r="D94" s="15" t="s">
        <v>530</v>
      </c>
      <c r="E94" s="15" t="s">
        <v>194</v>
      </c>
      <c r="F94" s="24" t="s">
        <v>173</v>
      </c>
      <c r="G94" s="15" t="n">
        <f aca="false">IFERROR(INDEX(Decisions!$K$2:$K$122,MATCH(E94,Decisions!$A$2:$A$122,0)),"")</f>
        <v>0</v>
      </c>
    </row>
    <row r="95" customFormat="false" ht="15" hidden="false" customHeight="false" outlineLevel="0" collapsed="false">
      <c r="A95" s="15" t="s">
        <v>535</v>
      </c>
      <c r="B95" s="15" t="s">
        <v>322</v>
      </c>
      <c r="C95" s="15" t="s">
        <v>501</v>
      </c>
      <c r="D95" s="15" t="s">
        <v>530</v>
      </c>
      <c r="E95" s="15" t="s">
        <v>58</v>
      </c>
      <c r="F95" s="25" t="s">
        <v>26</v>
      </c>
      <c r="G95" s="15" t="str">
        <f aca="false">IFERROR(INDEX(Decisions!$K$2:$K$122,MATCH(E95,Decisions!$A$2:$A$122,0)),"")</f>
        <v>drop</v>
      </c>
    </row>
    <row r="96" customFormat="false" ht="15" hidden="false" customHeight="false" outlineLevel="0" collapsed="false">
      <c r="A96" s="15" t="s">
        <v>536</v>
      </c>
      <c r="B96" s="15" t="s">
        <v>322</v>
      </c>
      <c r="C96" s="15" t="s">
        <v>501</v>
      </c>
      <c r="D96" s="15" t="s">
        <v>537</v>
      </c>
      <c r="E96" s="15" t="s">
        <v>361</v>
      </c>
      <c r="F96" s="24" t="s">
        <v>173</v>
      </c>
      <c r="G96" s="15" t="n">
        <f aca="false">IFERROR(INDEX(Decisions!$K$2:$K$122,MATCH(E96,Decisions!$A$2:$A$122,0)),"")</f>
        <v>0</v>
      </c>
    </row>
    <row r="97" customFormat="false" ht="15" hidden="false" customHeight="false" outlineLevel="0" collapsed="false">
      <c r="A97" s="15" t="s">
        <v>538</v>
      </c>
      <c r="B97" s="15" t="s">
        <v>68</v>
      </c>
      <c r="C97" s="15" t="s">
        <v>539</v>
      </c>
      <c r="D97" s="15" t="s">
        <v>540</v>
      </c>
      <c r="E97" s="15" t="s">
        <v>170</v>
      </c>
      <c r="F97" s="24" t="s">
        <v>173</v>
      </c>
      <c r="G97" s="15" t="n">
        <f aca="false">IFERROR(INDEX(Decisions!$K$2:$K$122,MATCH(E97,Decisions!$A$2:$A$122,0)),"")</f>
        <v>0</v>
      </c>
    </row>
    <row r="98" customFormat="false" ht="15" hidden="false" customHeight="false" outlineLevel="0" collapsed="false">
      <c r="A98" s="15" t="s">
        <v>541</v>
      </c>
      <c r="B98" s="15" t="s">
        <v>68</v>
      </c>
      <c r="C98" s="15" t="s">
        <v>539</v>
      </c>
      <c r="D98" s="15" t="s">
        <v>542</v>
      </c>
      <c r="E98" s="15" t="s">
        <v>170</v>
      </c>
      <c r="F98" s="24" t="s">
        <v>173</v>
      </c>
      <c r="G98" s="15" t="n">
        <f aca="false">IFERROR(INDEX(Decisions!$K$2:$K$122,MATCH(E98,Decisions!$A$2:$A$122,0)),"")</f>
        <v>0</v>
      </c>
    </row>
    <row r="99" customFormat="false" ht="15" hidden="false" customHeight="false" outlineLevel="0" collapsed="false">
      <c r="A99" s="15" t="s">
        <v>543</v>
      </c>
      <c r="B99" s="15" t="s">
        <v>68</v>
      </c>
      <c r="C99" s="15" t="s">
        <v>539</v>
      </c>
      <c r="D99" s="15" t="s">
        <v>544</v>
      </c>
      <c r="E99" s="15" t="s">
        <v>177</v>
      </c>
      <c r="F99" s="24" t="s">
        <v>173</v>
      </c>
      <c r="G99" s="15" t="n">
        <f aca="false">IFERROR(INDEX(Decisions!$K$2:$K$122,MATCH(E99,Decisions!$A$2:$A$122,0)),"")</f>
        <v>0</v>
      </c>
    </row>
    <row r="100" customFormat="false" ht="15" hidden="false" customHeight="false" outlineLevel="0" collapsed="false">
      <c r="A100" s="15" t="s">
        <v>545</v>
      </c>
      <c r="B100" s="15" t="s">
        <v>68</v>
      </c>
      <c r="C100" s="15" t="s">
        <v>546</v>
      </c>
      <c r="D100" s="15" t="s">
        <v>547</v>
      </c>
      <c r="E100" s="15" t="s">
        <v>191</v>
      </c>
      <c r="F100" s="24" t="s">
        <v>173</v>
      </c>
      <c r="G100" s="15" t="n">
        <f aca="false">IFERROR(INDEX(Decisions!$K$2:$K$122,MATCH(E100,Decisions!$A$2:$A$122,0)),"")</f>
        <v>0</v>
      </c>
    </row>
    <row r="101" customFormat="false" ht="15" hidden="false" customHeight="false" outlineLevel="0" collapsed="false">
      <c r="A101" s="15" t="s">
        <v>548</v>
      </c>
      <c r="B101" s="15" t="s">
        <v>68</v>
      </c>
      <c r="C101" s="15" t="s">
        <v>546</v>
      </c>
      <c r="D101" s="15" t="s">
        <v>547</v>
      </c>
      <c r="E101" s="15" t="s">
        <v>99</v>
      </c>
      <c r="F101" s="23" t="s">
        <v>97</v>
      </c>
      <c r="G101" s="15" t="n">
        <f aca="false">IFERROR(INDEX(Decisions!$K$2:$K$122,MATCH(E101,Decisions!$A$2:$A$122,0)),"")</f>
        <v>0</v>
      </c>
    </row>
    <row r="102" customFormat="false" ht="15" hidden="false" customHeight="false" outlineLevel="0" collapsed="false">
      <c r="A102" s="15" t="s">
        <v>549</v>
      </c>
      <c r="B102" s="15" t="s">
        <v>68</v>
      </c>
      <c r="C102" s="15" t="s">
        <v>546</v>
      </c>
      <c r="D102" s="15" t="s">
        <v>547</v>
      </c>
      <c r="E102" s="15" t="s">
        <v>108</v>
      </c>
      <c r="F102" s="23" t="s">
        <v>97</v>
      </c>
      <c r="G102" s="15" t="n">
        <f aca="false">IFERROR(INDEX(Decisions!$K$2:$K$122,MATCH(E102,Decisions!$A$2:$A$122,0)),"")</f>
        <v>0</v>
      </c>
    </row>
    <row r="103" customFormat="false" ht="15" hidden="false" customHeight="false" outlineLevel="0" collapsed="false">
      <c r="A103" s="15" t="s">
        <v>550</v>
      </c>
      <c r="B103" s="15" t="s">
        <v>68</v>
      </c>
      <c r="C103" s="15" t="s">
        <v>546</v>
      </c>
      <c r="D103" s="15" t="s">
        <v>547</v>
      </c>
      <c r="E103" s="15" t="s">
        <v>106</v>
      </c>
      <c r="F103" s="23" t="s">
        <v>97</v>
      </c>
      <c r="G103" s="15" t="n">
        <f aca="false">IFERROR(INDEX(Decisions!$K$2:$K$122,MATCH(E103,Decisions!$A$2:$A$122,0)),"")</f>
        <v>0</v>
      </c>
    </row>
    <row r="104" customFormat="false" ht="15" hidden="false" customHeight="false" outlineLevel="0" collapsed="false">
      <c r="A104" s="15" t="s">
        <v>551</v>
      </c>
      <c r="B104" s="15" t="s">
        <v>68</v>
      </c>
      <c r="C104" s="15" t="s">
        <v>546</v>
      </c>
      <c r="D104" s="15" t="s">
        <v>547</v>
      </c>
      <c r="E104" s="15" t="s">
        <v>194</v>
      </c>
      <c r="F104" s="24" t="s">
        <v>173</v>
      </c>
      <c r="G104" s="15" t="n">
        <f aca="false">IFERROR(INDEX(Decisions!$K$2:$K$122,MATCH(E104,Decisions!$A$2:$A$122,0)),"")</f>
        <v>0</v>
      </c>
    </row>
    <row r="105" customFormat="false" ht="15" hidden="false" customHeight="false" outlineLevel="0" collapsed="false">
      <c r="A105" s="15" t="s">
        <v>552</v>
      </c>
      <c r="B105" s="15" t="s">
        <v>68</v>
      </c>
      <c r="C105" s="15" t="s">
        <v>546</v>
      </c>
      <c r="D105" s="15" t="s">
        <v>547</v>
      </c>
      <c r="E105" s="15" t="s">
        <v>58</v>
      </c>
      <c r="F105" s="25" t="s">
        <v>26</v>
      </c>
      <c r="G105" s="15" t="str">
        <f aca="false">IFERROR(INDEX(Decisions!$K$2:$K$122,MATCH(E105,Decisions!$A$2:$A$122,0)),"")</f>
        <v>drop</v>
      </c>
    </row>
    <row r="106" customFormat="false" ht="15" hidden="false" customHeight="false" outlineLevel="0" collapsed="false">
      <c r="A106" s="15" t="s">
        <v>553</v>
      </c>
      <c r="B106" s="15" t="s">
        <v>68</v>
      </c>
      <c r="C106" s="15" t="s">
        <v>546</v>
      </c>
      <c r="D106" s="15" t="s">
        <v>547</v>
      </c>
      <c r="E106" s="15" t="s">
        <v>22</v>
      </c>
      <c r="F106" s="25" t="s">
        <v>26</v>
      </c>
      <c r="G106" s="15" t="str">
        <f aca="false">IFERROR(INDEX(Decisions!$K$2:$K$122,MATCH(E106,Decisions!$A$2:$A$122,0)),"")</f>
        <v>drop</v>
      </c>
    </row>
    <row r="107" customFormat="false" ht="15" hidden="false" customHeight="false" outlineLevel="0" collapsed="false">
      <c r="A107" s="15" t="s">
        <v>554</v>
      </c>
      <c r="B107" s="15" t="s">
        <v>68</v>
      </c>
      <c r="C107" s="15" t="s">
        <v>546</v>
      </c>
      <c r="D107" s="15" t="s">
        <v>555</v>
      </c>
      <c r="E107" s="15" t="s">
        <v>191</v>
      </c>
      <c r="F107" s="24" t="s">
        <v>173</v>
      </c>
      <c r="G107" s="15" t="n">
        <f aca="false">IFERROR(INDEX(Decisions!$K$2:$K$122,MATCH(E107,Decisions!$A$2:$A$122,0)),"")</f>
        <v>0</v>
      </c>
    </row>
    <row r="108" customFormat="false" ht="15" hidden="false" customHeight="false" outlineLevel="0" collapsed="false">
      <c r="A108" s="15" t="s">
        <v>556</v>
      </c>
      <c r="B108" s="15" t="s">
        <v>68</v>
      </c>
      <c r="C108" s="15" t="s">
        <v>546</v>
      </c>
      <c r="D108" s="15" t="s">
        <v>555</v>
      </c>
      <c r="E108" s="15" t="s">
        <v>99</v>
      </c>
      <c r="F108" s="23" t="s">
        <v>97</v>
      </c>
      <c r="G108" s="15" t="n">
        <f aca="false">IFERROR(INDEX(Decisions!$K$2:$K$122,MATCH(E108,Decisions!$A$2:$A$122,0)),"")</f>
        <v>0</v>
      </c>
    </row>
    <row r="109" customFormat="false" ht="15" hidden="false" customHeight="false" outlineLevel="0" collapsed="false">
      <c r="A109" s="15" t="s">
        <v>557</v>
      </c>
      <c r="B109" s="15" t="s">
        <v>68</v>
      </c>
      <c r="C109" s="15" t="s">
        <v>546</v>
      </c>
      <c r="D109" s="15" t="s">
        <v>555</v>
      </c>
      <c r="E109" s="15" t="s">
        <v>108</v>
      </c>
      <c r="F109" s="23" t="s">
        <v>97</v>
      </c>
      <c r="G109" s="15" t="n">
        <f aca="false">IFERROR(INDEX(Decisions!$K$2:$K$122,MATCH(E109,Decisions!$A$2:$A$122,0)),"")</f>
        <v>0</v>
      </c>
    </row>
    <row r="110" customFormat="false" ht="15" hidden="false" customHeight="false" outlineLevel="0" collapsed="false">
      <c r="A110" s="15" t="s">
        <v>558</v>
      </c>
      <c r="B110" s="15" t="s">
        <v>68</v>
      </c>
      <c r="C110" s="15" t="s">
        <v>546</v>
      </c>
      <c r="D110" s="15" t="s">
        <v>555</v>
      </c>
      <c r="E110" s="15" t="s">
        <v>106</v>
      </c>
      <c r="F110" s="23" t="s">
        <v>97</v>
      </c>
      <c r="G110" s="15" t="n">
        <f aca="false">IFERROR(INDEX(Decisions!$K$2:$K$122,MATCH(E110,Decisions!$A$2:$A$122,0)),"")</f>
        <v>0</v>
      </c>
    </row>
    <row r="111" customFormat="false" ht="15" hidden="false" customHeight="false" outlineLevel="0" collapsed="false">
      <c r="A111" s="15" t="s">
        <v>559</v>
      </c>
      <c r="B111" s="15" t="s">
        <v>68</v>
      </c>
      <c r="C111" s="15" t="s">
        <v>546</v>
      </c>
      <c r="D111" s="15" t="s">
        <v>555</v>
      </c>
      <c r="E111" s="15" t="s">
        <v>194</v>
      </c>
      <c r="F111" s="24" t="s">
        <v>173</v>
      </c>
      <c r="G111" s="15" t="n">
        <f aca="false">IFERROR(INDEX(Decisions!$K$2:$K$122,MATCH(E111,Decisions!$A$2:$A$122,0)),"")</f>
        <v>0</v>
      </c>
    </row>
    <row r="112" customFormat="false" ht="15" hidden="false" customHeight="false" outlineLevel="0" collapsed="false">
      <c r="A112" s="15" t="s">
        <v>560</v>
      </c>
      <c r="B112" s="15" t="s">
        <v>68</v>
      </c>
      <c r="C112" s="15" t="s">
        <v>546</v>
      </c>
      <c r="D112" s="15" t="s">
        <v>555</v>
      </c>
      <c r="E112" s="15" t="s">
        <v>58</v>
      </c>
      <c r="F112" s="25" t="s">
        <v>26</v>
      </c>
      <c r="G112" s="15" t="str">
        <f aca="false">IFERROR(INDEX(Decisions!$K$2:$K$122,MATCH(E112,Decisions!$A$2:$A$122,0)),"")</f>
        <v>drop</v>
      </c>
    </row>
    <row r="113" customFormat="false" ht="15" hidden="false" customHeight="false" outlineLevel="0" collapsed="false">
      <c r="A113" s="15" t="s">
        <v>561</v>
      </c>
      <c r="B113" s="15" t="s">
        <v>68</v>
      </c>
      <c r="C113" s="15" t="s">
        <v>546</v>
      </c>
      <c r="D113" s="15" t="s">
        <v>555</v>
      </c>
      <c r="E113" s="15" t="s">
        <v>22</v>
      </c>
      <c r="F113" s="25" t="s">
        <v>26</v>
      </c>
      <c r="G113" s="15" t="str">
        <f aca="false">IFERROR(INDEX(Decisions!$K$2:$K$122,MATCH(E113,Decisions!$A$2:$A$122,0)),"")</f>
        <v>drop</v>
      </c>
    </row>
    <row r="114" customFormat="false" ht="15" hidden="false" customHeight="false" outlineLevel="0" collapsed="false">
      <c r="A114" s="15" t="s">
        <v>562</v>
      </c>
      <c r="B114" s="15" t="s">
        <v>68</v>
      </c>
      <c r="C114" s="15" t="s">
        <v>563</v>
      </c>
      <c r="D114" s="15" t="s">
        <v>564</v>
      </c>
      <c r="E114" s="15" t="s">
        <v>164</v>
      </c>
      <c r="F114" s="23" t="s">
        <v>97</v>
      </c>
      <c r="G114" s="15" t="n">
        <f aca="false">IFERROR(INDEX(Decisions!$K$2:$K$122,MATCH(E114,Decisions!$A$2:$A$122,0)),"")</f>
        <v>0</v>
      </c>
    </row>
    <row r="115" customFormat="false" ht="15" hidden="false" customHeight="false" outlineLevel="0" collapsed="false">
      <c r="A115" s="15" t="s">
        <v>565</v>
      </c>
      <c r="B115" s="15" t="s">
        <v>68</v>
      </c>
      <c r="C115" s="15" t="s">
        <v>563</v>
      </c>
      <c r="D115" s="15" t="s">
        <v>564</v>
      </c>
      <c r="E115" s="15" t="s">
        <v>385</v>
      </c>
      <c r="F115" s="24" t="s">
        <v>173</v>
      </c>
      <c r="G115" s="15" t="n">
        <f aca="false">IFERROR(INDEX(Decisions!$K$2:$K$122,MATCH(E115,Decisions!$A$2:$A$122,0)),"")</f>
        <v>0</v>
      </c>
    </row>
    <row r="116" customFormat="false" ht="15" hidden="false" customHeight="false" outlineLevel="0" collapsed="false">
      <c r="A116" s="15" t="s">
        <v>566</v>
      </c>
      <c r="B116" s="15" t="s">
        <v>68</v>
      </c>
      <c r="C116" s="15" t="s">
        <v>567</v>
      </c>
      <c r="D116" s="15" t="s">
        <v>568</v>
      </c>
      <c r="E116" s="15" t="s">
        <v>304</v>
      </c>
      <c r="F116" s="24" t="s">
        <v>173</v>
      </c>
      <c r="G116" s="15" t="n">
        <f aca="false">IFERROR(INDEX(Decisions!$K$2:$K$122,MATCH(E116,Decisions!$A$2:$A$122,0)),"")</f>
        <v>0</v>
      </c>
    </row>
    <row r="117" customFormat="false" ht="15" hidden="false" customHeight="false" outlineLevel="0" collapsed="false">
      <c r="A117" s="15" t="s">
        <v>569</v>
      </c>
      <c r="B117" s="15" t="s">
        <v>68</v>
      </c>
      <c r="C117" s="15" t="s">
        <v>567</v>
      </c>
      <c r="D117" s="15" t="s">
        <v>568</v>
      </c>
      <c r="E117" s="15" t="s">
        <v>255</v>
      </c>
      <c r="F117" s="24" t="s">
        <v>173</v>
      </c>
      <c r="G117" s="15" t="n">
        <f aca="false">IFERROR(INDEX(Decisions!$K$2:$K$122,MATCH(E117,Decisions!$A$2:$A$122,0)),"")</f>
        <v>0</v>
      </c>
    </row>
    <row r="118" customFormat="false" ht="15" hidden="false" customHeight="false" outlineLevel="0" collapsed="false">
      <c r="A118" s="15" t="s">
        <v>570</v>
      </c>
      <c r="B118" s="15" t="s">
        <v>68</v>
      </c>
      <c r="C118" s="15" t="s">
        <v>567</v>
      </c>
      <c r="D118" s="15" t="s">
        <v>568</v>
      </c>
      <c r="E118" s="15" t="s">
        <v>235</v>
      </c>
      <c r="F118" s="24" t="s">
        <v>173</v>
      </c>
      <c r="G118" s="15" t="n">
        <f aca="false">IFERROR(INDEX(Decisions!$K$2:$K$122,MATCH(E118,Decisions!$A$2:$A$122,0)),"")</f>
        <v>0</v>
      </c>
    </row>
    <row r="119" customFormat="false" ht="15" hidden="false" customHeight="false" outlineLevel="0" collapsed="false">
      <c r="A119" s="15" t="s">
        <v>571</v>
      </c>
      <c r="B119" s="15" t="s">
        <v>68</v>
      </c>
      <c r="C119" s="15" t="s">
        <v>567</v>
      </c>
      <c r="D119" s="15" t="s">
        <v>568</v>
      </c>
      <c r="E119" s="15" t="s">
        <v>228</v>
      </c>
      <c r="F119" s="24" t="s">
        <v>173</v>
      </c>
      <c r="G119" s="15" t="n">
        <f aca="false">IFERROR(INDEX(Decisions!$K$2:$K$122,MATCH(E119,Decisions!$A$2:$A$122,0)),"")</f>
        <v>0</v>
      </c>
    </row>
    <row r="120" customFormat="false" ht="15" hidden="false" customHeight="false" outlineLevel="0" collapsed="false">
      <c r="A120" s="15" t="s">
        <v>572</v>
      </c>
      <c r="B120" s="15" t="s">
        <v>68</v>
      </c>
      <c r="C120" s="15" t="s">
        <v>567</v>
      </c>
      <c r="D120" s="15" t="s">
        <v>568</v>
      </c>
      <c r="E120" s="15" t="s">
        <v>212</v>
      </c>
      <c r="F120" s="24" t="s">
        <v>173</v>
      </c>
      <c r="G120" s="15" t="n">
        <f aca="false">IFERROR(INDEX(Decisions!$K$2:$K$122,MATCH(E120,Decisions!$A$2:$A$122,0)),"")</f>
        <v>0</v>
      </c>
    </row>
    <row r="121" customFormat="false" ht="15" hidden="false" customHeight="false" outlineLevel="0" collapsed="false">
      <c r="A121" s="15" t="s">
        <v>573</v>
      </c>
      <c r="B121" s="15" t="s">
        <v>68</v>
      </c>
      <c r="C121" s="15" t="s">
        <v>567</v>
      </c>
      <c r="D121" s="15" t="s">
        <v>568</v>
      </c>
      <c r="E121" s="15" t="s">
        <v>187</v>
      </c>
      <c r="F121" s="24" t="s">
        <v>173</v>
      </c>
      <c r="G121" s="15" t="n">
        <f aca="false">IFERROR(INDEX(Decisions!$K$2:$K$122,MATCH(E121,Decisions!$A$2:$A$122,0)),"")</f>
        <v>0</v>
      </c>
    </row>
    <row r="122" customFormat="false" ht="15" hidden="false" customHeight="false" outlineLevel="0" collapsed="false">
      <c r="A122" s="15" t="s">
        <v>574</v>
      </c>
      <c r="B122" s="15" t="s">
        <v>68</v>
      </c>
      <c r="C122" s="15" t="s">
        <v>567</v>
      </c>
      <c r="D122" s="15" t="s">
        <v>568</v>
      </c>
      <c r="E122" s="15" t="s">
        <v>170</v>
      </c>
      <c r="F122" s="24" t="s">
        <v>173</v>
      </c>
      <c r="G122" s="15" t="n">
        <f aca="false">IFERROR(INDEX(Decisions!$K$2:$K$122,MATCH(E122,Decisions!$A$2:$A$122,0)),"")</f>
        <v>0</v>
      </c>
    </row>
    <row r="123" customFormat="false" ht="15" hidden="false" customHeight="false" outlineLevel="0" collapsed="false">
      <c r="A123" s="15" t="s">
        <v>575</v>
      </c>
      <c r="B123" s="15" t="s">
        <v>68</v>
      </c>
      <c r="C123" s="15" t="s">
        <v>567</v>
      </c>
      <c r="D123" s="15" t="s">
        <v>568</v>
      </c>
      <c r="E123" s="15" t="s">
        <v>315</v>
      </c>
      <c r="F123" s="24" t="s">
        <v>173</v>
      </c>
      <c r="G123" s="15" t="n">
        <f aca="false">IFERROR(INDEX(Decisions!$K$2:$K$122,MATCH(E123,Decisions!$A$2:$A$122,0)),"")</f>
        <v>0</v>
      </c>
    </row>
    <row r="124" customFormat="false" ht="15" hidden="false" customHeight="false" outlineLevel="0" collapsed="false">
      <c r="A124" s="15" t="s">
        <v>576</v>
      </c>
      <c r="B124" s="15" t="s">
        <v>68</v>
      </c>
      <c r="C124" s="15" t="s">
        <v>567</v>
      </c>
      <c r="D124" s="15" t="s">
        <v>568</v>
      </c>
      <c r="E124" s="15" t="s">
        <v>317</v>
      </c>
      <c r="F124" s="24" t="s">
        <v>173</v>
      </c>
      <c r="G124" s="15" t="n">
        <f aca="false">IFERROR(INDEX(Decisions!$K$2:$K$122,MATCH(E124,Decisions!$A$2:$A$122,0)),"")</f>
        <v>0</v>
      </c>
    </row>
    <row r="125" customFormat="false" ht="15" hidden="false" customHeight="false" outlineLevel="0" collapsed="false">
      <c r="A125" s="15" t="s">
        <v>577</v>
      </c>
      <c r="B125" s="15" t="s">
        <v>68</v>
      </c>
      <c r="C125" s="15" t="s">
        <v>567</v>
      </c>
      <c r="D125" s="15" t="s">
        <v>578</v>
      </c>
      <c r="E125" s="15" t="s">
        <v>170</v>
      </c>
      <c r="F125" s="24" t="s">
        <v>173</v>
      </c>
      <c r="G125" s="15" t="n">
        <f aca="false">IFERROR(INDEX(Decisions!$K$2:$K$122,MATCH(E125,Decisions!$A$2:$A$122,0)),"")</f>
        <v>0</v>
      </c>
    </row>
    <row r="126" customFormat="false" ht="15" hidden="false" customHeight="false" outlineLevel="0" collapsed="false">
      <c r="A126" s="15" t="s">
        <v>579</v>
      </c>
      <c r="B126" s="15" t="s">
        <v>68</v>
      </c>
      <c r="C126" s="15" t="s">
        <v>567</v>
      </c>
      <c r="D126" s="15" t="s">
        <v>580</v>
      </c>
      <c r="E126" s="15" t="s">
        <v>255</v>
      </c>
      <c r="F126" s="24" t="s">
        <v>173</v>
      </c>
      <c r="G126" s="15" t="n">
        <f aca="false">IFERROR(INDEX(Decisions!$K$2:$K$122,MATCH(E126,Decisions!$A$2:$A$122,0)),"")</f>
        <v>0</v>
      </c>
    </row>
    <row r="127" customFormat="false" ht="15" hidden="false" customHeight="false" outlineLevel="0" collapsed="false">
      <c r="A127" s="15" t="s">
        <v>581</v>
      </c>
      <c r="B127" s="15" t="s">
        <v>68</v>
      </c>
      <c r="C127" s="15" t="s">
        <v>567</v>
      </c>
      <c r="D127" s="15" t="s">
        <v>580</v>
      </c>
      <c r="E127" s="15" t="s">
        <v>235</v>
      </c>
      <c r="F127" s="24" t="s">
        <v>173</v>
      </c>
      <c r="G127" s="15" t="n">
        <f aca="false">IFERROR(INDEX(Decisions!$K$2:$K$122,MATCH(E127,Decisions!$A$2:$A$122,0)),"")</f>
        <v>0</v>
      </c>
    </row>
    <row r="128" customFormat="false" ht="15" hidden="false" customHeight="false" outlineLevel="0" collapsed="false">
      <c r="A128" s="15" t="s">
        <v>582</v>
      </c>
      <c r="B128" s="15" t="s">
        <v>68</v>
      </c>
      <c r="C128" s="15" t="s">
        <v>567</v>
      </c>
      <c r="D128" s="15" t="s">
        <v>580</v>
      </c>
      <c r="E128" s="15" t="s">
        <v>212</v>
      </c>
      <c r="F128" s="24" t="s">
        <v>173</v>
      </c>
      <c r="G128" s="15" t="n">
        <f aca="false">IFERROR(INDEX(Decisions!$K$2:$K$122,MATCH(E128,Decisions!$A$2:$A$122,0)),"")</f>
        <v>0</v>
      </c>
    </row>
    <row r="129" customFormat="false" ht="15" hidden="false" customHeight="false" outlineLevel="0" collapsed="false">
      <c r="A129" s="15" t="s">
        <v>583</v>
      </c>
      <c r="B129" s="15" t="s">
        <v>68</v>
      </c>
      <c r="C129" s="15" t="s">
        <v>567</v>
      </c>
      <c r="D129" s="15" t="s">
        <v>580</v>
      </c>
      <c r="E129" s="15" t="s">
        <v>170</v>
      </c>
      <c r="F129" s="24" t="s">
        <v>173</v>
      </c>
      <c r="G129" s="15" t="n">
        <f aca="false">IFERROR(INDEX(Decisions!$K$2:$K$122,MATCH(E129,Decisions!$A$2:$A$122,0)),"")</f>
        <v>0</v>
      </c>
    </row>
    <row r="130" customFormat="false" ht="15" hidden="false" customHeight="false" outlineLevel="0" collapsed="false">
      <c r="A130" s="15" t="s">
        <v>584</v>
      </c>
      <c r="B130" s="15" t="s">
        <v>68</v>
      </c>
      <c r="C130" s="15" t="s">
        <v>567</v>
      </c>
      <c r="D130" s="15" t="s">
        <v>585</v>
      </c>
      <c r="E130" s="15" t="s">
        <v>177</v>
      </c>
      <c r="F130" s="24" t="s">
        <v>173</v>
      </c>
      <c r="G130" s="15" t="n">
        <f aca="false">IFERROR(INDEX(Decisions!$K$2:$K$122,MATCH(E130,Decisions!$A$2:$A$122,0)),"")</f>
        <v>0</v>
      </c>
    </row>
    <row r="131" customFormat="false" ht="15" hidden="false" customHeight="false" outlineLevel="0" collapsed="false">
      <c r="A131" s="15" t="s">
        <v>586</v>
      </c>
      <c r="B131" s="15" t="s">
        <v>68</v>
      </c>
      <c r="C131" s="15" t="s">
        <v>567</v>
      </c>
      <c r="D131" s="15" t="s">
        <v>587</v>
      </c>
      <c r="E131" s="15" t="s">
        <v>177</v>
      </c>
      <c r="F131" s="24" t="s">
        <v>173</v>
      </c>
      <c r="G131" s="15" t="n">
        <f aca="false">IFERROR(INDEX(Decisions!$K$2:$K$122,MATCH(E131,Decisions!$A$2:$A$122,0)),"")</f>
        <v>0</v>
      </c>
    </row>
    <row r="132" customFormat="false" ht="15" hidden="false" customHeight="false" outlineLevel="0" collapsed="false">
      <c r="A132" s="15" t="s">
        <v>588</v>
      </c>
      <c r="B132" s="15" t="s">
        <v>68</v>
      </c>
      <c r="C132" s="15" t="s">
        <v>567</v>
      </c>
      <c r="D132" s="15" t="s">
        <v>589</v>
      </c>
      <c r="E132" s="15" t="s">
        <v>177</v>
      </c>
      <c r="F132" s="24" t="s">
        <v>173</v>
      </c>
      <c r="G132" s="15" t="n">
        <f aca="false">IFERROR(INDEX(Decisions!$K$2:$K$122,MATCH(E132,Decisions!$A$2:$A$122,0)),"")</f>
        <v>0</v>
      </c>
    </row>
    <row r="133" customFormat="false" ht="15" hidden="false" customHeight="false" outlineLevel="0" collapsed="false">
      <c r="A133" s="15" t="s">
        <v>590</v>
      </c>
      <c r="B133" s="15" t="s">
        <v>68</v>
      </c>
      <c r="C133" s="15" t="s">
        <v>591</v>
      </c>
      <c r="D133" s="15" t="s">
        <v>592</v>
      </c>
      <c r="E133" s="15" t="s">
        <v>240</v>
      </c>
      <c r="F133" s="24" t="s">
        <v>173</v>
      </c>
      <c r="G133" s="15" t="n">
        <f aca="false">IFERROR(INDEX(Decisions!$K$2:$K$122,MATCH(E133,Decisions!$A$2:$A$122,0)),"")</f>
        <v>0</v>
      </c>
    </row>
    <row r="134" customFormat="false" ht="15" hidden="false" customHeight="false" outlineLevel="0" collapsed="false">
      <c r="A134" s="15" t="s">
        <v>593</v>
      </c>
      <c r="B134" s="15" t="s">
        <v>68</v>
      </c>
      <c r="C134" s="15" t="s">
        <v>591</v>
      </c>
      <c r="D134" s="15" t="s">
        <v>592</v>
      </c>
      <c r="E134" s="15" t="s">
        <v>245</v>
      </c>
      <c r="F134" s="24" t="s">
        <v>173</v>
      </c>
      <c r="G134" s="15" t="n">
        <f aca="false">IFERROR(INDEX(Decisions!$K$2:$K$122,MATCH(E134,Decisions!$A$2:$A$122,0)),"")</f>
        <v>0</v>
      </c>
    </row>
    <row r="135" customFormat="false" ht="15" hidden="false" customHeight="false" outlineLevel="0" collapsed="false">
      <c r="A135" s="15" t="s">
        <v>594</v>
      </c>
      <c r="B135" s="15" t="s">
        <v>68</v>
      </c>
      <c r="C135" s="15" t="s">
        <v>595</v>
      </c>
      <c r="D135" s="15" t="s">
        <v>596</v>
      </c>
      <c r="E135" s="15" t="s">
        <v>222</v>
      </c>
      <c r="F135" s="24" t="s">
        <v>173</v>
      </c>
      <c r="G135" s="15" t="n">
        <f aca="false">IFERROR(INDEX(Decisions!$K$2:$K$122,MATCH(E135,Decisions!$A$2:$A$122,0)),"")</f>
        <v>0</v>
      </c>
    </row>
    <row r="136" customFormat="false" ht="15" hidden="false" customHeight="false" outlineLevel="0" collapsed="false">
      <c r="A136" s="15" t="s">
        <v>597</v>
      </c>
      <c r="B136" s="15" t="s">
        <v>68</v>
      </c>
      <c r="C136" s="15" t="s">
        <v>595</v>
      </c>
      <c r="D136" s="15" t="s">
        <v>598</v>
      </c>
      <c r="E136" s="15" t="s">
        <v>110</v>
      </c>
      <c r="F136" s="23" t="s">
        <v>97</v>
      </c>
      <c r="G136" s="15" t="n">
        <f aca="false">IFERROR(INDEX(Decisions!$K$2:$K$122,MATCH(E136,Decisions!$A$2:$A$122,0)),"")</f>
        <v>0</v>
      </c>
    </row>
    <row r="137" customFormat="false" ht="15" hidden="false" customHeight="false" outlineLevel="0" collapsed="false">
      <c r="A137" s="15" t="s">
        <v>599</v>
      </c>
      <c r="B137" s="15" t="s">
        <v>68</v>
      </c>
      <c r="C137" s="15" t="s">
        <v>595</v>
      </c>
      <c r="D137" s="15" t="s">
        <v>598</v>
      </c>
      <c r="E137" s="15" t="s">
        <v>198</v>
      </c>
      <c r="F137" s="24" t="s">
        <v>173</v>
      </c>
      <c r="G137" s="15" t="n">
        <f aca="false">IFERROR(INDEX(Decisions!$K$2:$K$122,MATCH(E137,Decisions!$A$2:$A$122,0)),"")</f>
        <v>0</v>
      </c>
    </row>
    <row r="138" customFormat="false" ht="15" hidden="false" customHeight="false" outlineLevel="0" collapsed="false">
      <c r="A138" s="15" t="s">
        <v>600</v>
      </c>
      <c r="B138" s="15" t="s">
        <v>68</v>
      </c>
      <c r="C138" s="15" t="s">
        <v>601</v>
      </c>
      <c r="D138" s="15" t="s">
        <v>602</v>
      </c>
      <c r="E138" s="15" t="s">
        <v>390</v>
      </c>
      <c r="F138" s="24" t="s">
        <v>173</v>
      </c>
      <c r="G138" s="15" t="n">
        <f aca="false">IFERROR(INDEX(Decisions!$K$2:$K$122,MATCH(E138,Decisions!$A$2:$A$122,0)),"")</f>
        <v>0</v>
      </c>
    </row>
    <row r="139" customFormat="false" ht="15" hidden="false" customHeight="false" outlineLevel="0" collapsed="false">
      <c r="A139" s="15" t="s">
        <v>603</v>
      </c>
      <c r="B139" s="15" t="s">
        <v>68</v>
      </c>
      <c r="C139" s="15" t="s">
        <v>601</v>
      </c>
      <c r="D139" s="15" t="s">
        <v>602</v>
      </c>
      <c r="E139" s="15" t="s">
        <v>89</v>
      </c>
      <c r="F139" s="25" t="s">
        <v>26</v>
      </c>
      <c r="G139" s="15" t="str">
        <f aca="false">IFERROR(INDEX(Decisions!$K$2:$K$122,MATCH(E139,Decisions!$A$2:$A$122,0)),"")</f>
        <v>keep</v>
      </c>
    </row>
    <row r="140" customFormat="false" ht="15" hidden="false" customHeight="false" outlineLevel="0" collapsed="false">
      <c r="A140" s="15" t="s">
        <v>604</v>
      </c>
      <c r="B140" s="15" t="s">
        <v>68</v>
      </c>
      <c r="C140" s="15" t="s">
        <v>605</v>
      </c>
      <c r="D140" s="15" t="s">
        <v>606</v>
      </c>
      <c r="E140" s="15" t="s">
        <v>66</v>
      </c>
      <c r="F140" s="25" t="s">
        <v>26</v>
      </c>
      <c r="G140" s="15" t="str">
        <f aca="false">IFERROR(INDEX(Decisions!$K$2:$K$122,MATCH(E140,Decisions!$A$2:$A$122,0)),"")</f>
        <v>keep</v>
      </c>
    </row>
    <row r="141" customFormat="false" ht="15" hidden="false" customHeight="false" outlineLevel="0" collapsed="false">
      <c r="A141" s="15" t="s">
        <v>607</v>
      </c>
      <c r="B141" s="15" t="s">
        <v>68</v>
      </c>
      <c r="C141" s="15" t="s">
        <v>605</v>
      </c>
      <c r="D141" s="15" t="s">
        <v>606</v>
      </c>
      <c r="E141" s="15" t="s">
        <v>128</v>
      </c>
      <c r="F141" s="23" t="s">
        <v>97</v>
      </c>
      <c r="G141" s="15" t="n">
        <f aca="false">IFERROR(INDEX(Decisions!$K$2:$K$122,MATCH(E141,Decisions!$A$2:$A$122,0)),"")</f>
        <v>0</v>
      </c>
    </row>
    <row r="142" customFormat="false" ht="15" hidden="false" customHeight="false" outlineLevel="0" collapsed="false">
      <c r="A142" s="15" t="s">
        <v>608</v>
      </c>
      <c r="B142" s="15" t="s">
        <v>68</v>
      </c>
      <c r="C142" s="15" t="s">
        <v>609</v>
      </c>
      <c r="D142" s="15" t="s">
        <v>540</v>
      </c>
      <c r="E142" s="15" t="s">
        <v>170</v>
      </c>
      <c r="F142" s="24" t="s">
        <v>173</v>
      </c>
      <c r="G142" s="15" t="n">
        <f aca="false">IFERROR(INDEX(Decisions!$K$2:$K$122,MATCH(E142,Decisions!$A$2:$A$122,0)),"")</f>
        <v>0</v>
      </c>
    </row>
    <row r="143" customFormat="false" ht="15" hidden="false" customHeight="false" outlineLevel="0" collapsed="false">
      <c r="A143" s="15" t="s">
        <v>610</v>
      </c>
      <c r="B143" s="15" t="s">
        <v>68</v>
      </c>
      <c r="C143" s="15" t="s">
        <v>609</v>
      </c>
      <c r="D143" s="15" t="s">
        <v>611</v>
      </c>
      <c r="E143" s="15" t="s">
        <v>255</v>
      </c>
      <c r="F143" s="24" t="s">
        <v>173</v>
      </c>
      <c r="G143" s="15" t="n">
        <f aca="false">IFERROR(INDEX(Decisions!$K$2:$K$122,MATCH(E143,Decisions!$A$2:$A$122,0)),"")</f>
        <v>0</v>
      </c>
    </row>
    <row r="144" customFormat="false" ht="15" hidden="false" customHeight="false" outlineLevel="0" collapsed="false">
      <c r="A144" s="15" t="s">
        <v>612</v>
      </c>
      <c r="B144" s="15" t="s">
        <v>68</v>
      </c>
      <c r="C144" s="15" t="s">
        <v>609</v>
      </c>
      <c r="D144" s="15" t="s">
        <v>611</v>
      </c>
      <c r="E144" s="15" t="s">
        <v>187</v>
      </c>
      <c r="F144" s="24" t="s">
        <v>173</v>
      </c>
      <c r="G144" s="15" t="n">
        <f aca="false">IFERROR(INDEX(Decisions!$K$2:$K$122,MATCH(E144,Decisions!$A$2:$A$122,0)),"")</f>
        <v>0</v>
      </c>
    </row>
    <row r="145" customFormat="false" ht="15" hidden="false" customHeight="false" outlineLevel="0" collapsed="false">
      <c r="A145" s="15" t="s">
        <v>613</v>
      </c>
      <c r="B145" s="15" t="s">
        <v>68</v>
      </c>
      <c r="C145" s="15" t="s">
        <v>609</v>
      </c>
      <c r="D145" s="15" t="s">
        <v>611</v>
      </c>
      <c r="E145" s="15" t="s">
        <v>170</v>
      </c>
      <c r="F145" s="24" t="s">
        <v>173</v>
      </c>
      <c r="G145" s="15" t="n">
        <f aca="false">IFERROR(INDEX(Decisions!$K$2:$K$122,MATCH(E145,Decisions!$A$2:$A$122,0)),"")</f>
        <v>0</v>
      </c>
    </row>
    <row r="146" customFormat="false" ht="15" hidden="false" customHeight="false" outlineLevel="0" collapsed="false">
      <c r="A146" s="15" t="s">
        <v>614</v>
      </c>
      <c r="B146" s="15" t="s">
        <v>68</v>
      </c>
      <c r="C146" s="15" t="s">
        <v>609</v>
      </c>
      <c r="D146" s="15" t="s">
        <v>544</v>
      </c>
      <c r="E146" s="15" t="s">
        <v>177</v>
      </c>
      <c r="F146" s="24" t="s">
        <v>173</v>
      </c>
      <c r="G146" s="15" t="n">
        <f aca="false">IFERROR(INDEX(Decisions!$K$2:$K$122,MATCH(E146,Decisions!$A$2:$A$122,0)),"")</f>
        <v>0</v>
      </c>
    </row>
    <row r="147" customFormat="false" ht="15" hidden="false" customHeight="false" outlineLevel="0" collapsed="false">
      <c r="A147" s="15" t="s">
        <v>615</v>
      </c>
      <c r="B147" s="15" t="s">
        <v>68</v>
      </c>
      <c r="C147" s="15" t="s">
        <v>605</v>
      </c>
      <c r="D147" s="15" t="s">
        <v>616</v>
      </c>
      <c r="E147" s="15" t="s">
        <v>113</v>
      </c>
      <c r="F147" s="23" t="s">
        <v>97</v>
      </c>
      <c r="G147" s="15" t="n">
        <f aca="false">IFERROR(INDEX(Decisions!$K$2:$K$122,MATCH(E147,Decisions!$A$2:$A$122,0)),"")</f>
        <v>0</v>
      </c>
    </row>
    <row r="148" customFormat="false" ht="15" hidden="false" customHeight="false" outlineLevel="0" collapsed="false">
      <c r="A148" s="15" t="s">
        <v>617</v>
      </c>
      <c r="B148" s="15" t="s">
        <v>68</v>
      </c>
      <c r="C148" s="15" t="s">
        <v>605</v>
      </c>
      <c r="D148" s="15" t="s">
        <v>616</v>
      </c>
      <c r="E148" s="15" t="s">
        <v>116</v>
      </c>
      <c r="F148" s="23" t="s">
        <v>97</v>
      </c>
      <c r="G148" s="15" t="n">
        <f aca="false">IFERROR(INDEX(Decisions!$K$2:$K$122,MATCH(E148,Decisions!$A$2:$A$122,0)),"")</f>
        <v>0</v>
      </c>
    </row>
    <row r="149" customFormat="false" ht="15" hidden="false" customHeight="false" outlineLevel="0" collapsed="false">
      <c r="A149" s="15" t="s">
        <v>618</v>
      </c>
      <c r="B149" s="15" t="s">
        <v>68</v>
      </c>
      <c r="C149" s="15" t="s">
        <v>605</v>
      </c>
      <c r="D149" s="15" t="s">
        <v>616</v>
      </c>
      <c r="E149" s="15" t="s">
        <v>225</v>
      </c>
      <c r="F149" s="24" t="s">
        <v>173</v>
      </c>
      <c r="G149" s="15" t="n">
        <f aca="false">IFERROR(INDEX(Decisions!$K$2:$K$122,MATCH(E149,Decisions!$A$2:$A$122,0)),"")</f>
        <v>0</v>
      </c>
    </row>
    <row r="150" customFormat="false" ht="15" hidden="false" customHeight="false" outlineLevel="0" collapsed="false">
      <c r="A150" s="15" t="s">
        <v>619</v>
      </c>
      <c r="B150" s="15" t="s">
        <v>68</v>
      </c>
      <c r="C150" s="15" t="s">
        <v>605</v>
      </c>
      <c r="D150" s="15" t="s">
        <v>616</v>
      </c>
      <c r="E150" s="15" t="s">
        <v>218</v>
      </c>
      <c r="F150" s="24" t="s">
        <v>173</v>
      </c>
      <c r="G150" s="15" t="n">
        <f aca="false">IFERROR(INDEX(Decisions!$K$2:$K$122,MATCH(E150,Decisions!$A$2:$A$122,0)),"")</f>
        <v>0</v>
      </c>
    </row>
    <row r="151" customFormat="false" ht="15" hidden="false" customHeight="false" outlineLevel="0" collapsed="false">
      <c r="A151" s="15" t="s">
        <v>620</v>
      </c>
      <c r="B151" s="15" t="s">
        <v>68</v>
      </c>
      <c r="C151" s="15" t="s">
        <v>605</v>
      </c>
      <c r="D151" s="15" t="s">
        <v>616</v>
      </c>
      <c r="E151" s="15" t="s">
        <v>259</v>
      </c>
      <c r="F151" s="24" t="s">
        <v>173</v>
      </c>
      <c r="G151" s="15" t="n">
        <f aca="false">IFERROR(INDEX(Decisions!$K$2:$K$122,MATCH(E151,Decisions!$A$2:$A$122,0)),"")</f>
        <v>0</v>
      </c>
    </row>
    <row r="152" customFormat="false" ht="15" hidden="false" customHeight="false" outlineLevel="0" collapsed="false">
      <c r="A152" s="15" t="s">
        <v>621</v>
      </c>
      <c r="B152" s="15" t="s">
        <v>68</v>
      </c>
      <c r="C152" s="15" t="s">
        <v>605</v>
      </c>
      <c r="D152" s="15" t="s">
        <v>616</v>
      </c>
      <c r="E152" s="15" t="s">
        <v>118</v>
      </c>
      <c r="F152" s="23" t="s">
        <v>97</v>
      </c>
      <c r="G152" s="15" t="n">
        <f aca="false">IFERROR(INDEX(Decisions!$K$2:$K$122,MATCH(E152,Decisions!$A$2:$A$122,0)),"")</f>
        <v>0</v>
      </c>
    </row>
    <row r="153" customFormat="false" ht="15" hidden="false" customHeight="false" outlineLevel="0" collapsed="false">
      <c r="A153" s="15" t="s">
        <v>622</v>
      </c>
      <c r="B153" s="15" t="s">
        <v>68</v>
      </c>
      <c r="C153" s="15" t="s">
        <v>623</v>
      </c>
      <c r="D153" s="15" t="s">
        <v>624</v>
      </c>
      <c r="E153" s="15" t="s">
        <v>191</v>
      </c>
      <c r="F153" s="24" t="s">
        <v>173</v>
      </c>
      <c r="G153" s="15" t="n">
        <f aca="false">IFERROR(INDEX(Decisions!$K$2:$K$122,MATCH(E153,Decisions!$A$2:$A$122,0)),"")</f>
        <v>0</v>
      </c>
    </row>
    <row r="154" customFormat="false" ht="15" hidden="false" customHeight="false" outlineLevel="0" collapsed="false">
      <c r="A154" s="15" t="s">
        <v>625</v>
      </c>
      <c r="B154" s="15" t="s">
        <v>68</v>
      </c>
      <c r="C154" s="15" t="s">
        <v>623</v>
      </c>
      <c r="D154" s="15" t="s">
        <v>624</v>
      </c>
      <c r="E154" s="15" t="s">
        <v>99</v>
      </c>
      <c r="F154" s="23" t="s">
        <v>97</v>
      </c>
      <c r="G154" s="15" t="n">
        <f aca="false">IFERROR(INDEX(Decisions!$K$2:$K$122,MATCH(E154,Decisions!$A$2:$A$122,0)),"")</f>
        <v>0</v>
      </c>
    </row>
    <row r="155" customFormat="false" ht="15" hidden="false" customHeight="false" outlineLevel="0" collapsed="false">
      <c r="A155" s="15" t="s">
        <v>626</v>
      </c>
      <c r="B155" s="15" t="s">
        <v>68</v>
      </c>
      <c r="C155" s="15" t="s">
        <v>623</v>
      </c>
      <c r="D155" s="15" t="s">
        <v>624</v>
      </c>
      <c r="E155" s="15" t="s">
        <v>108</v>
      </c>
      <c r="F155" s="23" t="s">
        <v>97</v>
      </c>
      <c r="G155" s="15" t="n">
        <f aca="false">IFERROR(INDEX(Decisions!$K$2:$K$122,MATCH(E155,Decisions!$A$2:$A$122,0)),"")</f>
        <v>0</v>
      </c>
    </row>
    <row r="156" customFormat="false" ht="15" hidden="false" customHeight="false" outlineLevel="0" collapsed="false">
      <c r="A156" s="15" t="s">
        <v>627</v>
      </c>
      <c r="B156" s="15" t="s">
        <v>68</v>
      </c>
      <c r="C156" s="15" t="s">
        <v>623</v>
      </c>
      <c r="D156" s="15" t="s">
        <v>624</v>
      </c>
      <c r="E156" s="15" t="s">
        <v>106</v>
      </c>
      <c r="F156" s="23" t="s">
        <v>97</v>
      </c>
      <c r="G156" s="15" t="n">
        <f aca="false">IFERROR(INDEX(Decisions!$K$2:$K$122,MATCH(E156,Decisions!$A$2:$A$122,0)),"")</f>
        <v>0</v>
      </c>
    </row>
    <row r="157" customFormat="false" ht="15" hidden="false" customHeight="false" outlineLevel="0" collapsed="false">
      <c r="A157" s="15" t="s">
        <v>628</v>
      </c>
      <c r="B157" s="15" t="s">
        <v>68</v>
      </c>
      <c r="C157" s="15" t="s">
        <v>623</v>
      </c>
      <c r="D157" s="15" t="s">
        <v>624</v>
      </c>
      <c r="E157" s="15" t="s">
        <v>194</v>
      </c>
      <c r="F157" s="24" t="s">
        <v>173</v>
      </c>
      <c r="G157" s="15" t="n">
        <f aca="false">IFERROR(INDEX(Decisions!$K$2:$K$122,MATCH(E157,Decisions!$A$2:$A$122,0)),"")</f>
        <v>0</v>
      </c>
    </row>
    <row r="158" customFormat="false" ht="15" hidden="false" customHeight="false" outlineLevel="0" collapsed="false">
      <c r="A158" s="15" t="s">
        <v>629</v>
      </c>
      <c r="B158" s="15" t="s">
        <v>68</v>
      </c>
      <c r="C158" s="15" t="s">
        <v>623</v>
      </c>
      <c r="D158" s="15" t="s">
        <v>624</v>
      </c>
      <c r="E158" s="15" t="s">
        <v>58</v>
      </c>
      <c r="F158" s="25" t="s">
        <v>26</v>
      </c>
      <c r="G158" s="15" t="str">
        <f aca="false">IFERROR(INDEX(Decisions!$K$2:$K$122,MATCH(E158,Decisions!$A$2:$A$122,0)),"")</f>
        <v>drop</v>
      </c>
    </row>
    <row r="159" customFormat="false" ht="15" hidden="false" customHeight="false" outlineLevel="0" collapsed="false">
      <c r="A159" s="15" t="s">
        <v>630</v>
      </c>
      <c r="B159" s="15" t="s">
        <v>68</v>
      </c>
      <c r="C159" s="15" t="s">
        <v>623</v>
      </c>
      <c r="D159" s="15" t="s">
        <v>624</v>
      </c>
      <c r="E159" s="15" t="s">
        <v>22</v>
      </c>
      <c r="F159" s="25" t="s">
        <v>26</v>
      </c>
      <c r="G159" s="15" t="str">
        <f aca="false">IFERROR(INDEX(Decisions!$K$2:$K$122,MATCH(E159,Decisions!$A$2:$A$122,0)),"")</f>
        <v>drop</v>
      </c>
    </row>
    <row r="160" customFormat="false" ht="15" hidden="false" customHeight="false" outlineLevel="0" collapsed="false">
      <c r="A160" s="15" t="s">
        <v>631</v>
      </c>
      <c r="B160" s="15" t="s">
        <v>68</v>
      </c>
      <c r="C160" s="15" t="s">
        <v>632</v>
      </c>
      <c r="D160" s="15" t="s">
        <v>633</v>
      </c>
      <c r="E160" s="15" t="s">
        <v>101</v>
      </c>
      <c r="F160" s="23" t="s">
        <v>97</v>
      </c>
      <c r="G160" s="15" t="n">
        <f aca="false">IFERROR(INDEX(Decisions!$K$2:$K$122,MATCH(E160,Decisions!$A$2:$A$122,0)),"")</f>
        <v>0</v>
      </c>
    </row>
    <row r="161" customFormat="false" ht="15" hidden="false" customHeight="false" outlineLevel="0" collapsed="false">
      <c r="A161" s="15" t="s">
        <v>634</v>
      </c>
      <c r="B161" s="15" t="s">
        <v>68</v>
      </c>
      <c r="C161" s="15" t="s">
        <v>632</v>
      </c>
      <c r="D161" s="15" t="s">
        <v>633</v>
      </c>
      <c r="E161" s="15" t="s">
        <v>104</v>
      </c>
      <c r="F161" s="23" t="s">
        <v>97</v>
      </c>
      <c r="G161" s="15" t="n">
        <f aca="false">IFERROR(INDEX(Decisions!$K$2:$K$122,MATCH(E161,Decisions!$A$2:$A$122,0)),"")</f>
        <v>0</v>
      </c>
    </row>
    <row r="162" customFormat="false" ht="15" hidden="false" customHeight="false" outlineLevel="0" collapsed="false">
      <c r="A162" s="15" t="s">
        <v>635</v>
      </c>
      <c r="B162" s="15" t="s">
        <v>68</v>
      </c>
      <c r="C162" s="15" t="s">
        <v>632</v>
      </c>
      <c r="D162" s="15" t="s">
        <v>633</v>
      </c>
      <c r="E162" s="15" t="s">
        <v>201</v>
      </c>
      <c r="F162" s="24" t="s">
        <v>173</v>
      </c>
      <c r="G162" s="15" t="n">
        <f aca="false">IFERROR(INDEX(Decisions!$K$2:$K$122,MATCH(E162,Decisions!$A$2:$A$122,0)),"")</f>
        <v>0</v>
      </c>
    </row>
    <row r="163" customFormat="false" ht="15" hidden="false" customHeight="false" outlineLevel="0" collapsed="false">
      <c r="A163" s="15" t="s">
        <v>636</v>
      </c>
      <c r="B163" s="15" t="s">
        <v>68</v>
      </c>
      <c r="C163" s="15" t="s">
        <v>632</v>
      </c>
      <c r="D163" s="15" t="s">
        <v>633</v>
      </c>
      <c r="E163" s="15" t="s">
        <v>206</v>
      </c>
      <c r="F163" s="24" t="s">
        <v>173</v>
      </c>
      <c r="G163" s="15" t="n">
        <f aca="false">IFERROR(INDEX(Decisions!$K$2:$K$122,MATCH(E163,Decisions!$A$2:$A$122,0)),"")</f>
        <v>0</v>
      </c>
    </row>
    <row r="164" customFormat="false" ht="15" hidden="false" customHeight="false" outlineLevel="0" collapsed="false">
      <c r="A164" s="15" t="s">
        <v>637</v>
      </c>
      <c r="B164" s="15" t="s">
        <v>68</v>
      </c>
      <c r="C164" s="15" t="s">
        <v>638</v>
      </c>
      <c r="D164" s="15" t="s">
        <v>639</v>
      </c>
      <c r="E164" s="15" t="s">
        <v>191</v>
      </c>
      <c r="F164" s="24" t="s">
        <v>173</v>
      </c>
      <c r="G164" s="15" t="n">
        <f aca="false">IFERROR(INDEX(Decisions!$K$2:$K$122,MATCH(E164,Decisions!$A$2:$A$122,0)),"")</f>
        <v>0</v>
      </c>
    </row>
    <row r="165" customFormat="false" ht="15" hidden="false" customHeight="false" outlineLevel="0" collapsed="false">
      <c r="A165" s="15" t="s">
        <v>640</v>
      </c>
      <c r="B165" s="15" t="s">
        <v>68</v>
      </c>
      <c r="C165" s="15" t="s">
        <v>638</v>
      </c>
      <c r="D165" s="15" t="s">
        <v>639</v>
      </c>
      <c r="E165" s="15" t="s">
        <v>99</v>
      </c>
      <c r="F165" s="23" t="s">
        <v>97</v>
      </c>
      <c r="G165" s="15" t="n">
        <f aca="false">IFERROR(INDEX(Decisions!$K$2:$K$122,MATCH(E165,Decisions!$A$2:$A$122,0)),"")</f>
        <v>0</v>
      </c>
    </row>
    <row r="166" customFormat="false" ht="15" hidden="false" customHeight="false" outlineLevel="0" collapsed="false">
      <c r="A166" s="15" t="s">
        <v>641</v>
      </c>
      <c r="B166" s="15" t="s">
        <v>68</v>
      </c>
      <c r="C166" s="15" t="s">
        <v>638</v>
      </c>
      <c r="D166" s="15" t="s">
        <v>639</v>
      </c>
      <c r="E166" s="15" t="s">
        <v>108</v>
      </c>
      <c r="F166" s="23" t="s">
        <v>97</v>
      </c>
      <c r="G166" s="15" t="n">
        <f aca="false">IFERROR(INDEX(Decisions!$K$2:$K$122,MATCH(E166,Decisions!$A$2:$A$122,0)),"")</f>
        <v>0</v>
      </c>
    </row>
    <row r="167" customFormat="false" ht="15" hidden="false" customHeight="false" outlineLevel="0" collapsed="false">
      <c r="A167" s="15" t="s">
        <v>642</v>
      </c>
      <c r="B167" s="15" t="s">
        <v>68</v>
      </c>
      <c r="C167" s="15" t="s">
        <v>638</v>
      </c>
      <c r="D167" s="15" t="s">
        <v>639</v>
      </c>
      <c r="E167" s="15" t="s">
        <v>106</v>
      </c>
      <c r="F167" s="23" t="s">
        <v>97</v>
      </c>
      <c r="G167" s="15" t="n">
        <f aca="false">IFERROR(INDEX(Decisions!$K$2:$K$122,MATCH(E167,Decisions!$A$2:$A$122,0)),"")</f>
        <v>0</v>
      </c>
    </row>
    <row r="168" customFormat="false" ht="15" hidden="false" customHeight="false" outlineLevel="0" collapsed="false">
      <c r="A168" s="15" t="s">
        <v>643</v>
      </c>
      <c r="B168" s="15" t="s">
        <v>68</v>
      </c>
      <c r="C168" s="15" t="s">
        <v>638</v>
      </c>
      <c r="D168" s="15" t="s">
        <v>639</v>
      </c>
      <c r="E168" s="15" t="s">
        <v>194</v>
      </c>
      <c r="F168" s="24" t="s">
        <v>173</v>
      </c>
      <c r="G168" s="15" t="n">
        <f aca="false">IFERROR(INDEX(Decisions!$K$2:$K$122,MATCH(E168,Decisions!$A$2:$A$122,0)),"")</f>
        <v>0</v>
      </c>
    </row>
    <row r="169" customFormat="false" ht="15" hidden="false" customHeight="false" outlineLevel="0" collapsed="false">
      <c r="A169" s="15" t="s">
        <v>644</v>
      </c>
      <c r="B169" s="15" t="s">
        <v>68</v>
      </c>
      <c r="C169" s="15" t="s">
        <v>638</v>
      </c>
      <c r="D169" s="15" t="s">
        <v>639</v>
      </c>
      <c r="E169" s="15" t="s">
        <v>58</v>
      </c>
      <c r="F169" s="25" t="s">
        <v>26</v>
      </c>
      <c r="G169" s="15" t="str">
        <f aca="false">IFERROR(INDEX(Decisions!$K$2:$K$122,MATCH(E169,Decisions!$A$2:$A$122,0)),"")</f>
        <v>drop</v>
      </c>
    </row>
    <row r="170" customFormat="false" ht="15" hidden="false" customHeight="false" outlineLevel="0" collapsed="false">
      <c r="A170" s="15" t="s">
        <v>645</v>
      </c>
      <c r="B170" s="15" t="s">
        <v>68</v>
      </c>
      <c r="C170" s="15" t="s">
        <v>638</v>
      </c>
      <c r="D170" s="15" t="s">
        <v>639</v>
      </c>
      <c r="E170" s="15" t="s">
        <v>22</v>
      </c>
      <c r="F170" s="25" t="s">
        <v>26</v>
      </c>
      <c r="G170" s="15" t="str">
        <f aca="false">IFERROR(INDEX(Decisions!$K$2:$K$122,MATCH(E170,Decisions!$A$2:$A$122,0)),"")</f>
        <v>drop</v>
      </c>
    </row>
    <row r="171" customFormat="false" ht="15" hidden="false" customHeight="false" outlineLevel="0" collapsed="false">
      <c r="A171" s="15" t="s">
        <v>646</v>
      </c>
      <c r="B171" s="15" t="s">
        <v>68</v>
      </c>
      <c r="C171" s="15" t="s">
        <v>632</v>
      </c>
      <c r="D171" s="15" t="s">
        <v>647</v>
      </c>
      <c r="E171" s="15" t="s">
        <v>94</v>
      </c>
      <c r="F171" s="23" t="s">
        <v>97</v>
      </c>
      <c r="G171" s="15" t="n">
        <f aca="false">IFERROR(INDEX(Decisions!$K$2:$K$122,MATCH(E171,Decisions!$A$2:$A$122,0)),"")</f>
        <v>0</v>
      </c>
    </row>
    <row r="172" customFormat="false" ht="15" hidden="false" customHeight="false" outlineLevel="0" collapsed="false">
      <c r="A172" s="15" t="s">
        <v>648</v>
      </c>
      <c r="B172" s="15" t="s">
        <v>68</v>
      </c>
      <c r="C172" s="15" t="s">
        <v>632</v>
      </c>
      <c r="D172" s="15" t="s">
        <v>647</v>
      </c>
      <c r="E172" s="15" t="s">
        <v>233</v>
      </c>
      <c r="F172" s="24" t="s">
        <v>173</v>
      </c>
      <c r="G172" s="15" t="n">
        <f aca="false">IFERROR(INDEX(Decisions!$K$2:$K$122,MATCH(E172,Decisions!$A$2:$A$122,0)),"")</f>
        <v>0</v>
      </c>
    </row>
    <row r="173" customFormat="false" ht="15" hidden="false" customHeight="false" outlineLevel="0" collapsed="false">
      <c r="A173" s="15" t="s">
        <v>649</v>
      </c>
      <c r="B173" s="15" t="s">
        <v>68</v>
      </c>
      <c r="C173" s="15" t="s">
        <v>632</v>
      </c>
      <c r="D173" s="15" t="s">
        <v>647</v>
      </c>
      <c r="E173" s="15" t="s">
        <v>183</v>
      </c>
      <c r="F173" s="24" t="s">
        <v>173</v>
      </c>
      <c r="G173" s="15" t="n">
        <f aca="false">IFERROR(INDEX(Decisions!$K$2:$K$122,MATCH(E173,Decisions!$A$2:$A$122,0)),"")</f>
        <v>0</v>
      </c>
    </row>
    <row r="174" customFormat="false" ht="15" hidden="false" customHeight="false" outlineLevel="0" collapsed="false">
      <c r="A174" s="15" t="s">
        <v>650</v>
      </c>
      <c r="B174" s="15" t="s">
        <v>68</v>
      </c>
      <c r="C174" s="15" t="s">
        <v>632</v>
      </c>
      <c r="D174" s="15" t="s">
        <v>651</v>
      </c>
      <c r="E174" s="15" t="s">
        <v>94</v>
      </c>
      <c r="F174" s="23" t="s">
        <v>97</v>
      </c>
      <c r="G174" s="15" t="n">
        <f aca="false">IFERROR(INDEX(Decisions!$K$2:$K$122,MATCH(E174,Decisions!$A$2:$A$122,0)),"")</f>
        <v>0</v>
      </c>
    </row>
    <row r="175" customFormat="false" ht="15" hidden="false" customHeight="false" outlineLevel="0" collapsed="false">
      <c r="A175" s="15" t="s">
        <v>652</v>
      </c>
      <c r="B175" s="15" t="s">
        <v>68</v>
      </c>
      <c r="C175" s="15" t="s">
        <v>632</v>
      </c>
      <c r="D175" s="15" t="s">
        <v>651</v>
      </c>
      <c r="E175" s="15" t="s">
        <v>215</v>
      </c>
      <c r="F175" s="24" t="s">
        <v>173</v>
      </c>
      <c r="G175" s="15" t="n">
        <f aca="false">IFERROR(INDEX(Decisions!$K$2:$K$122,MATCH(E175,Decisions!$A$2:$A$122,0)),"")</f>
        <v>0</v>
      </c>
    </row>
    <row r="176" customFormat="false" ht="15" hidden="false" customHeight="false" outlineLevel="0" collapsed="false">
      <c r="A176" s="15" t="s">
        <v>653</v>
      </c>
      <c r="B176" s="15" t="s">
        <v>68</v>
      </c>
      <c r="C176" s="15" t="s">
        <v>632</v>
      </c>
      <c r="D176" s="15" t="s">
        <v>651</v>
      </c>
      <c r="E176" s="15" t="s">
        <v>183</v>
      </c>
      <c r="F176" s="24" t="s">
        <v>173</v>
      </c>
      <c r="G176" s="15" t="n">
        <f aca="false">IFERROR(INDEX(Decisions!$K$2:$K$122,MATCH(E176,Decisions!$A$2:$A$122,0)),"")</f>
        <v>0</v>
      </c>
    </row>
    <row r="177" customFormat="false" ht="15" hidden="false" customHeight="false" outlineLevel="0" collapsed="false">
      <c r="A177" s="15" t="s">
        <v>654</v>
      </c>
      <c r="B177" s="15" t="s">
        <v>68</v>
      </c>
      <c r="C177" s="15" t="s">
        <v>655</v>
      </c>
      <c r="D177" s="15" t="s">
        <v>656</v>
      </c>
      <c r="E177" s="15" t="s">
        <v>110</v>
      </c>
      <c r="F177" s="23" t="s">
        <v>97</v>
      </c>
      <c r="G177" s="15" t="n">
        <f aca="false">IFERROR(INDEX(Decisions!$K$2:$K$122,MATCH(E177,Decisions!$A$2:$A$122,0)),"")</f>
        <v>0</v>
      </c>
    </row>
    <row r="178" customFormat="false" ht="15" hidden="false" customHeight="false" outlineLevel="0" collapsed="false">
      <c r="A178" s="15" t="s">
        <v>657</v>
      </c>
      <c r="B178" s="15" t="s">
        <v>68</v>
      </c>
      <c r="C178" s="15" t="s">
        <v>655</v>
      </c>
      <c r="D178" s="15" t="s">
        <v>656</v>
      </c>
      <c r="E178" s="15" t="s">
        <v>198</v>
      </c>
      <c r="F178" s="24" t="s">
        <v>173</v>
      </c>
      <c r="G178" s="15" t="n">
        <f aca="false">IFERROR(INDEX(Decisions!$K$2:$K$122,MATCH(E178,Decisions!$A$2:$A$122,0)),"")</f>
        <v>0</v>
      </c>
    </row>
    <row r="179" customFormat="false" ht="15" hidden="false" customHeight="false" outlineLevel="0" collapsed="false">
      <c r="A179" s="15" t="s">
        <v>658</v>
      </c>
      <c r="B179" s="15" t="s">
        <v>68</v>
      </c>
      <c r="C179" s="15" t="s">
        <v>659</v>
      </c>
      <c r="D179" s="15" t="s">
        <v>660</v>
      </c>
      <c r="E179" s="15" t="s">
        <v>167</v>
      </c>
      <c r="F179" s="23" t="s">
        <v>97</v>
      </c>
      <c r="G179" s="15" t="n">
        <f aca="false">IFERROR(INDEX(Decisions!$K$2:$K$122,MATCH(E179,Decisions!$A$2:$A$122,0)),"")</f>
        <v>0</v>
      </c>
    </row>
    <row r="180" customFormat="false" ht="15" hidden="false" customHeight="false" outlineLevel="0" collapsed="false">
      <c r="A180" s="15" t="s">
        <v>661</v>
      </c>
      <c r="B180" s="15" t="s">
        <v>68</v>
      </c>
      <c r="C180" s="15" t="s">
        <v>662</v>
      </c>
      <c r="D180" s="15" t="s">
        <v>663</v>
      </c>
      <c r="E180" s="15" t="s">
        <v>70</v>
      </c>
      <c r="F180" s="25" t="s">
        <v>26</v>
      </c>
      <c r="G180" s="15" t="str">
        <f aca="false">IFERROR(INDEX(Decisions!$K$2:$K$122,MATCH(E180,Decisions!$A$2:$A$122,0)),"")</f>
        <v>drop</v>
      </c>
    </row>
    <row r="181" customFormat="false" ht="15" hidden="false" customHeight="false" outlineLevel="0" collapsed="false">
      <c r="A181" s="15" t="s">
        <v>664</v>
      </c>
      <c r="B181" s="15" t="s">
        <v>68</v>
      </c>
      <c r="C181" s="15" t="s">
        <v>662</v>
      </c>
      <c r="D181" s="15" t="s">
        <v>663</v>
      </c>
      <c r="E181" s="15" t="s">
        <v>120</v>
      </c>
      <c r="F181" s="23" t="s">
        <v>97</v>
      </c>
      <c r="G181" s="15" t="n">
        <f aca="false">IFERROR(INDEX(Decisions!$K$2:$K$122,MATCH(E181,Decisions!$A$2:$A$122,0)),"")</f>
        <v>0</v>
      </c>
    </row>
    <row r="182" customFormat="false" ht="15" hidden="false" customHeight="false" outlineLevel="0" collapsed="false">
      <c r="A182" s="15" t="s">
        <v>665</v>
      </c>
      <c r="B182" s="15" t="s">
        <v>68</v>
      </c>
      <c r="C182" s="15" t="s">
        <v>662</v>
      </c>
      <c r="D182" s="15" t="s">
        <v>663</v>
      </c>
      <c r="E182" s="15" t="s">
        <v>122</v>
      </c>
      <c r="F182" s="23" t="s">
        <v>97</v>
      </c>
      <c r="G182" s="15" t="n">
        <f aca="false">IFERROR(INDEX(Decisions!$K$2:$K$122,MATCH(E182,Decisions!$A$2:$A$122,0)),"")</f>
        <v>0</v>
      </c>
    </row>
    <row r="183" customFormat="false" ht="15" hidden="false" customHeight="false" outlineLevel="0" collapsed="false">
      <c r="A183" s="15" t="s">
        <v>666</v>
      </c>
      <c r="B183" s="15" t="s">
        <v>68</v>
      </c>
      <c r="C183" s="15" t="s">
        <v>662</v>
      </c>
      <c r="D183" s="15" t="s">
        <v>663</v>
      </c>
      <c r="E183" s="15" t="s">
        <v>63</v>
      </c>
      <c r="F183" s="25" t="s">
        <v>26</v>
      </c>
      <c r="G183" s="15" t="str">
        <f aca="false">IFERROR(INDEX(Decisions!$K$2:$K$122,MATCH(E183,Decisions!$A$2:$A$122,0)),"")</f>
        <v>drop</v>
      </c>
    </row>
    <row r="184" customFormat="false" ht="15" hidden="false" customHeight="false" outlineLevel="0" collapsed="false">
      <c r="A184" s="15" t="s">
        <v>667</v>
      </c>
      <c r="B184" s="15" t="s">
        <v>68</v>
      </c>
      <c r="C184" s="15" t="s">
        <v>662</v>
      </c>
      <c r="D184" s="15" t="s">
        <v>663</v>
      </c>
      <c r="E184" s="15" t="s">
        <v>124</v>
      </c>
      <c r="F184" s="23" t="s">
        <v>97</v>
      </c>
      <c r="G184" s="15" t="n">
        <f aca="false">IFERROR(INDEX(Decisions!$K$2:$K$122,MATCH(E184,Decisions!$A$2:$A$122,0)),"")</f>
        <v>0</v>
      </c>
    </row>
    <row r="185" customFormat="false" ht="15" hidden="false" customHeight="false" outlineLevel="0" collapsed="false">
      <c r="A185" s="15" t="s">
        <v>668</v>
      </c>
      <c r="B185" s="15" t="s">
        <v>68</v>
      </c>
      <c r="C185" s="15" t="s">
        <v>662</v>
      </c>
      <c r="D185" s="15" t="s">
        <v>663</v>
      </c>
      <c r="E185" s="15" t="s">
        <v>262</v>
      </c>
      <c r="F185" s="24" t="s">
        <v>173</v>
      </c>
      <c r="G185" s="15" t="n">
        <f aca="false">IFERROR(INDEX(Decisions!$K$2:$K$122,MATCH(E185,Decisions!$A$2:$A$122,0)),"")</f>
        <v>0</v>
      </c>
    </row>
    <row r="186" customFormat="false" ht="15" hidden="false" customHeight="false" outlineLevel="0" collapsed="false">
      <c r="A186" s="15" t="s">
        <v>669</v>
      </c>
      <c r="B186" s="15" t="s">
        <v>68</v>
      </c>
      <c r="C186" s="15" t="s">
        <v>662</v>
      </c>
      <c r="D186" s="15" t="s">
        <v>663</v>
      </c>
      <c r="E186" s="15" t="s">
        <v>247</v>
      </c>
      <c r="F186" s="24" t="s">
        <v>173</v>
      </c>
      <c r="G186" s="15" t="n">
        <f aca="false">IFERROR(INDEX(Decisions!$K$2:$K$122,MATCH(E186,Decisions!$A$2:$A$122,0)),"")</f>
        <v>0</v>
      </c>
    </row>
    <row r="187" customFormat="false" ht="15" hidden="false" customHeight="false" outlineLevel="0" collapsed="false">
      <c r="A187" s="15" t="s">
        <v>670</v>
      </c>
      <c r="B187" s="15" t="s">
        <v>68</v>
      </c>
      <c r="C187" s="15" t="s">
        <v>662</v>
      </c>
      <c r="D187" s="15" t="s">
        <v>663</v>
      </c>
      <c r="E187" s="15" t="s">
        <v>251</v>
      </c>
      <c r="F187" s="24" t="s">
        <v>173</v>
      </c>
      <c r="G187" s="15" t="n">
        <f aca="false">IFERROR(INDEX(Decisions!$K$2:$K$122,MATCH(E187,Decisions!$A$2:$A$122,0)),"")</f>
        <v>0</v>
      </c>
    </row>
    <row r="188" customFormat="false" ht="15" hidden="false" customHeight="false" outlineLevel="0" collapsed="false">
      <c r="A188" s="15" t="s">
        <v>671</v>
      </c>
      <c r="B188" s="15" t="s">
        <v>68</v>
      </c>
      <c r="C188" s="15" t="s">
        <v>662</v>
      </c>
      <c r="D188" s="15" t="s">
        <v>663</v>
      </c>
      <c r="E188" s="15" t="s">
        <v>126</v>
      </c>
      <c r="F188" s="23" t="s">
        <v>97</v>
      </c>
      <c r="G188" s="15" t="n">
        <f aca="false">IFERROR(INDEX(Decisions!$K$2:$K$122,MATCH(E188,Decisions!$A$2:$A$122,0)),"")</f>
        <v>0</v>
      </c>
    </row>
    <row r="189" customFormat="false" ht="15" hidden="false" customHeight="false" outlineLevel="0" collapsed="false">
      <c r="A189" s="15" t="s">
        <v>672</v>
      </c>
      <c r="B189" s="15" t="s">
        <v>68</v>
      </c>
      <c r="C189" s="15" t="s">
        <v>662</v>
      </c>
      <c r="D189" s="15" t="s">
        <v>663</v>
      </c>
      <c r="E189" s="15" t="s">
        <v>130</v>
      </c>
      <c r="F189" s="23" t="s">
        <v>97</v>
      </c>
      <c r="G189" s="15" t="n">
        <f aca="false">IFERROR(INDEX(Decisions!$K$2:$K$122,MATCH(E189,Decisions!$A$2:$A$122,0)),"")</f>
        <v>0</v>
      </c>
    </row>
    <row r="190" customFormat="false" ht="15" hidden="false" customHeight="false" outlineLevel="0" collapsed="false">
      <c r="A190" s="15" t="s">
        <v>673</v>
      </c>
      <c r="B190" s="15" t="s">
        <v>68</v>
      </c>
      <c r="C190" s="15" t="s">
        <v>674</v>
      </c>
      <c r="D190" s="15" t="s">
        <v>675</v>
      </c>
      <c r="E190" s="15" t="s">
        <v>212</v>
      </c>
      <c r="F190" s="24" t="s">
        <v>173</v>
      </c>
      <c r="G190" s="15" t="n">
        <f aca="false">IFERROR(INDEX(Decisions!$K$2:$K$122,MATCH(E190,Decisions!$A$2:$A$122,0)),"")</f>
        <v>0</v>
      </c>
    </row>
    <row r="191" customFormat="false" ht="15" hidden="false" customHeight="false" outlineLevel="0" collapsed="false">
      <c r="A191" s="15" t="s">
        <v>676</v>
      </c>
      <c r="B191" s="15" t="s">
        <v>68</v>
      </c>
      <c r="C191" s="15" t="s">
        <v>674</v>
      </c>
      <c r="D191" s="15" t="s">
        <v>675</v>
      </c>
      <c r="E191" s="15" t="s">
        <v>187</v>
      </c>
      <c r="F191" s="24" t="s">
        <v>173</v>
      </c>
      <c r="G191" s="15" t="n">
        <f aca="false">IFERROR(INDEX(Decisions!$K$2:$K$122,MATCH(E191,Decisions!$A$2:$A$122,0)),"")</f>
        <v>0</v>
      </c>
    </row>
    <row r="192" customFormat="false" ht="15" hidden="false" customHeight="false" outlineLevel="0" collapsed="false">
      <c r="A192" s="15" t="s">
        <v>677</v>
      </c>
      <c r="B192" s="15" t="s">
        <v>68</v>
      </c>
      <c r="C192" s="15" t="s">
        <v>674</v>
      </c>
      <c r="D192" s="15" t="s">
        <v>675</v>
      </c>
      <c r="E192" s="15" t="s">
        <v>170</v>
      </c>
      <c r="F192" s="24" t="s">
        <v>173</v>
      </c>
      <c r="G192" s="15" t="n">
        <f aca="false">IFERROR(INDEX(Decisions!$K$2:$K$122,MATCH(E192,Decisions!$A$2:$A$122,0)),"")</f>
        <v>0</v>
      </c>
    </row>
    <row r="193" customFormat="false" ht="15" hidden="false" customHeight="false" outlineLevel="0" collapsed="false">
      <c r="A193" s="15" t="s">
        <v>678</v>
      </c>
      <c r="B193" s="15" t="s">
        <v>68</v>
      </c>
      <c r="C193" s="15" t="s">
        <v>679</v>
      </c>
      <c r="D193" s="15" t="s">
        <v>680</v>
      </c>
      <c r="E193" s="15" t="s">
        <v>170</v>
      </c>
      <c r="F193" s="24" t="s">
        <v>173</v>
      </c>
      <c r="G193" s="15" t="n">
        <f aca="false">IFERROR(INDEX(Decisions!$K$2:$K$122,MATCH(E193,Decisions!$A$2:$A$122,0)),"")</f>
        <v>0</v>
      </c>
    </row>
    <row r="194" customFormat="false" ht="15" hidden="false" customHeight="false" outlineLevel="0" collapsed="false">
      <c r="A194" s="15" t="s">
        <v>681</v>
      </c>
      <c r="B194" s="15" t="s">
        <v>68</v>
      </c>
      <c r="C194" s="15" t="s">
        <v>674</v>
      </c>
      <c r="D194" s="15" t="s">
        <v>682</v>
      </c>
      <c r="E194" s="15" t="s">
        <v>228</v>
      </c>
      <c r="F194" s="24" t="s">
        <v>173</v>
      </c>
      <c r="G194" s="15" t="n">
        <f aca="false">IFERROR(INDEX(Decisions!$K$2:$K$122,MATCH(E194,Decisions!$A$2:$A$122,0)),"")</f>
        <v>0</v>
      </c>
    </row>
    <row r="195" customFormat="false" ht="15" hidden="false" customHeight="false" outlineLevel="0" collapsed="false">
      <c r="A195" s="15" t="s">
        <v>683</v>
      </c>
      <c r="B195" s="15" t="s">
        <v>68</v>
      </c>
      <c r="C195" s="15" t="s">
        <v>674</v>
      </c>
      <c r="D195" s="15" t="s">
        <v>682</v>
      </c>
      <c r="E195" s="15" t="s">
        <v>170</v>
      </c>
      <c r="F195" s="24" t="s">
        <v>173</v>
      </c>
      <c r="G195" s="15" t="n">
        <f aca="false">IFERROR(INDEX(Decisions!$K$2:$K$122,MATCH(E195,Decisions!$A$2:$A$122,0)),"")</f>
        <v>0</v>
      </c>
    </row>
    <row r="196" customFormat="false" ht="15" hidden="false" customHeight="false" outlineLevel="0" collapsed="false">
      <c r="A196" s="15" t="s">
        <v>684</v>
      </c>
      <c r="B196" s="15" t="s">
        <v>68</v>
      </c>
      <c r="C196" s="15" t="s">
        <v>659</v>
      </c>
      <c r="D196" s="15" t="s">
        <v>685</v>
      </c>
      <c r="E196" s="15" t="s">
        <v>187</v>
      </c>
      <c r="F196" s="24" t="s">
        <v>173</v>
      </c>
      <c r="G196" s="15" t="n">
        <f aca="false">IFERROR(INDEX(Decisions!$K$2:$K$122,MATCH(E196,Decisions!$A$2:$A$122,0)),"")</f>
        <v>0</v>
      </c>
    </row>
    <row r="197" customFormat="false" ht="15" hidden="false" customHeight="false" outlineLevel="0" collapsed="false">
      <c r="A197" s="15" t="s">
        <v>686</v>
      </c>
      <c r="B197" s="15" t="s">
        <v>68</v>
      </c>
      <c r="C197" s="15" t="s">
        <v>659</v>
      </c>
      <c r="D197" s="15" t="s">
        <v>685</v>
      </c>
      <c r="E197" s="15" t="s">
        <v>170</v>
      </c>
      <c r="F197" s="24" t="s">
        <v>173</v>
      </c>
      <c r="G197" s="15" t="n">
        <f aca="false">IFERROR(INDEX(Decisions!$K$2:$K$122,MATCH(E197,Decisions!$A$2:$A$122,0)),"")</f>
        <v>0</v>
      </c>
    </row>
    <row r="198" customFormat="false" ht="15" hidden="false" customHeight="false" outlineLevel="0" collapsed="false">
      <c r="A198" s="15" t="s">
        <v>687</v>
      </c>
      <c r="B198" s="15" t="s">
        <v>68</v>
      </c>
      <c r="C198" s="15" t="s">
        <v>674</v>
      </c>
      <c r="D198" s="15" t="s">
        <v>688</v>
      </c>
      <c r="E198" s="15" t="s">
        <v>177</v>
      </c>
      <c r="F198" s="24" t="s">
        <v>173</v>
      </c>
      <c r="G198" s="15" t="n">
        <f aca="false">IFERROR(INDEX(Decisions!$K$2:$K$122,MATCH(E198,Decisions!$A$2:$A$122,0)),"")</f>
        <v>0</v>
      </c>
    </row>
    <row r="199" customFormat="false" ht="15" hidden="false" customHeight="false" outlineLevel="0" collapsed="false">
      <c r="A199" s="15" t="s">
        <v>689</v>
      </c>
      <c r="B199" s="15" t="s">
        <v>68</v>
      </c>
      <c r="C199" s="15" t="s">
        <v>674</v>
      </c>
      <c r="D199" s="15" t="s">
        <v>690</v>
      </c>
      <c r="E199" s="15" t="s">
        <v>177</v>
      </c>
      <c r="F199" s="24" t="s">
        <v>173</v>
      </c>
      <c r="G199" s="15" t="n">
        <f aca="false">IFERROR(INDEX(Decisions!$K$2:$K$122,MATCH(E199,Decisions!$A$2:$A$122,0)),"")</f>
        <v>0</v>
      </c>
    </row>
    <row r="200" customFormat="false" ht="15" hidden="false" customHeight="false" outlineLevel="0" collapsed="false">
      <c r="A200" s="15" t="s">
        <v>691</v>
      </c>
      <c r="B200" s="15" t="s">
        <v>68</v>
      </c>
      <c r="C200" s="15" t="s">
        <v>674</v>
      </c>
      <c r="D200" s="15" t="s">
        <v>692</v>
      </c>
      <c r="E200" s="15" t="s">
        <v>264</v>
      </c>
      <c r="F200" s="24" t="s">
        <v>173</v>
      </c>
      <c r="G200" s="15" t="n">
        <f aca="false">IFERROR(INDEX(Decisions!$K$2:$K$122,MATCH(E200,Decisions!$A$2:$A$122,0)),"")</f>
        <v>0</v>
      </c>
    </row>
    <row r="201" customFormat="false" ht="15" hidden="false" customHeight="false" outlineLevel="0" collapsed="false">
      <c r="A201" s="15" t="s">
        <v>693</v>
      </c>
      <c r="B201" s="15" t="s">
        <v>68</v>
      </c>
      <c r="C201" s="15" t="s">
        <v>674</v>
      </c>
      <c r="D201" s="15" t="s">
        <v>694</v>
      </c>
      <c r="E201" s="15" t="s">
        <v>264</v>
      </c>
      <c r="F201" s="24" t="s">
        <v>173</v>
      </c>
      <c r="G201" s="15" t="n">
        <f aca="false">IFERROR(INDEX(Decisions!$K$2:$K$122,MATCH(E201,Decisions!$A$2:$A$122,0)),"")</f>
        <v>0</v>
      </c>
    </row>
    <row r="202" customFormat="false" ht="15" hidden="false" customHeight="false" outlineLevel="0" collapsed="false">
      <c r="A202" s="15" t="s">
        <v>695</v>
      </c>
      <c r="B202" s="15" t="s">
        <v>68</v>
      </c>
      <c r="C202" s="15" t="s">
        <v>679</v>
      </c>
      <c r="D202" s="15" t="s">
        <v>696</v>
      </c>
      <c r="E202" s="15" t="s">
        <v>101</v>
      </c>
      <c r="F202" s="23" t="s">
        <v>97</v>
      </c>
      <c r="G202" s="15" t="n">
        <f aca="false">IFERROR(INDEX(Decisions!$K$2:$K$122,MATCH(E202,Decisions!$A$2:$A$122,0)),"")</f>
        <v>0</v>
      </c>
    </row>
    <row r="203" customFormat="false" ht="15" hidden="false" customHeight="false" outlineLevel="0" collapsed="false">
      <c r="A203" s="15" t="s">
        <v>697</v>
      </c>
      <c r="B203" s="15" t="s">
        <v>68</v>
      </c>
      <c r="C203" s="15" t="s">
        <v>679</v>
      </c>
      <c r="D203" s="15" t="s">
        <v>696</v>
      </c>
      <c r="E203" s="15" t="s">
        <v>104</v>
      </c>
      <c r="F203" s="23" t="s">
        <v>97</v>
      </c>
      <c r="G203" s="15" t="n">
        <f aca="false">IFERROR(INDEX(Decisions!$K$2:$K$122,MATCH(E203,Decisions!$A$2:$A$122,0)),"")</f>
        <v>0</v>
      </c>
    </row>
    <row r="204" customFormat="false" ht="15" hidden="false" customHeight="false" outlineLevel="0" collapsed="false">
      <c r="A204" s="15" t="s">
        <v>698</v>
      </c>
      <c r="B204" s="15" t="s">
        <v>68</v>
      </c>
      <c r="C204" s="15" t="s">
        <v>679</v>
      </c>
      <c r="D204" s="15" t="s">
        <v>696</v>
      </c>
      <c r="E204" s="15" t="s">
        <v>201</v>
      </c>
      <c r="F204" s="24" t="s">
        <v>173</v>
      </c>
      <c r="G204" s="15" t="n">
        <f aca="false">IFERROR(INDEX(Decisions!$K$2:$K$122,MATCH(E204,Decisions!$A$2:$A$122,0)),"")</f>
        <v>0</v>
      </c>
    </row>
    <row r="205" customFormat="false" ht="15" hidden="false" customHeight="false" outlineLevel="0" collapsed="false">
      <c r="A205" s="15" t="s">
        <v>699</v>
      </c>
      <c r="B205" s="15" t="s">
        <v>68</v>
      </c>
      <c r="C205" s="15" t="s">
        <v>679</v>
      </c>
      <c r="D205" s="15" t="s">
        <v>696</v>
      </c>
      <c r="E205" s="15" t="s">
        <v>206</v>
      </c>
      <c r="F205" s="24" t="s">
        <v>173</v>
      </c>
      <c r="G205" s="15" t="n">
        <f aca="false">IFERROR(INDEX(Decisions!$K$2:$K$122,MATCH(E205,Decisions!$A$2:$A$122,0)),"")</f>
        <v>0</v>
      </c>
    </row>
    <row r="206" customFormat="false" ht="15" hidden="false" customHeight="false" outlineLevel="0" collapsed="false">
      <c r="A206" s="15" t="s">
        <v>700</v>
      </c>
      <c r="B206" s="15" t="s">
        <v>68</v>
      </c>
      <c r="C206" s="15" t="s">
        <v>701</v>
      </c>
      <c r="D206" s="15" t="s">
        <v>702</v>
      </c>
      <c r="E206" s="15" t="s">
        <v>113</v>
      </c>
      <c r="F206" s="23" t="s">
        <v>97</v>
      </c>
      <c r="G206" s="15" t="n">
        <f aca="false">IFERROR(INDEX(Decisions!$K$2:$K$122,MATCH(E206,Decisions!$A$2:$A$122,0)),"")</f>
        <v>0</v>
      </c>
    </row>
    <row r="207" customFormat="false" ht="15" hidden="false" customHeight="false" outlineLevel="0" collapsed="false">
      <c r="A207" s="15" t="s">
        <v>703</v>
      </c>
      <c r="B207" s="15" t="s">
        <v>68</v>
      </c>
      <c r="C207" s="15" t="s">
        <v>701</v>
      </c>
      <c r="D207" s="15" t="s">
        <v>702</v>
      </c>
      <c r="E207" s="15" t="s">
        <v>116</v>
      </c>
      <c r="F207" s="23" t="s">
        <v>97</v>
      </c>
      <c r="G207" s="15" t="n">
        <f aca="false">IFERROR(INDEX(Decisions!$K$2:$K$122,MATCH(E207,Decisions!$A$2:$A$122,0)),"")</f>
        <v>0</v>
      </c>
    </row>
    <row r="208" customFormat="false" ht="15" hidden="false" customHeight="false" outlineLevel="0" collapsed="false">
      <c r="A208" s="15" t="s">
        <v>704</v>
      </c>
      <c r="B208" s="15" t="s">
        <v>68</v>
      </c>
      <c r="C208" s="15" t="s">
        <v>701</v>
      </c>
      <c r="D208" s="15" t="s">
        <v>702</v>
      </c>
      <c r="E208" s="15" t="s">
        <v>225</v>
      </c>
      <c r="F208" s="24" t="s">
        <v>173</v>
      </c>
      <c r="G208" s="15" t="n">
        <f aca="false">IFERROR(INDEX(Decisions!$K$2:$K$122,MATCH(E208,Decisions!$A$2:$A$122,0)),"")</f>
        <v>0</v>
      </c>
    </row>
    <row r="209" customFormat="false" ht="15" hidden="false" customHeight="false" outlineLevel="0" collapsed="false">
      <c r="A209" s="15" t="s">
        <v>705</v>
      </c>
      <c r="B209" s="15" t="s">
        <v>68</v>
      </c>
      <c r="C209" s="15" t="s">
        <v>701</v>
      </c>
      <c r="D209" s="15" t="s">
        <v>702</v>
      </c>
      <c r="E209" s="15" t="s">
        <v>231</v>
      </c>
      <c r="F209" s="24" t="s">
        <v>173</v>
      </c>
      <c r="G209" s="15" t="n">
        <f aca="false">IFERROR(INDEX(Decisions!$K$2:$K$122,MATCH(E209,Decisions!$A$2:$A$122,0)),"")</f>
        <v>0</v>
      </c>
    </row>
    <row r="210" customFormat="false" ht="15" hidden="false" customHeight="false" outlineLevel="0" collapsed="false">
      <c r="A210" s="15" t="s">
        <v>706</v>
      </c>
      <c r="B210" s="15" t="s">
        <v>68</v>
      </c>
      <c r="C210" s="15" t="s">
        <v>701</v>
      </c>
      <c r="D210" s="15" t="s">
        <v>702</v>
      </c>
      <c r="E210" s="15" t="s">
        <v>218</v>
      </c>
      <c r="F210" s="24" t="s">
        <v>173</v>
      </c>
      <c r="G210" s="15" t="n">
        <f aca="false">IFERROR(INDEX(Decisions!$K$2:$K$122,MATCH(E210,Decisions!$A$2:$A$122,0)),"")</f>
        <v>0</v>
      </c>
    </row>
    <row r="211" customFormat="false" ht="15" hidden="false" customHeight="false" outlineLevel="0" collapsed="false">
      <c r="A211" s="15" t="s">
        <v>707</v>
      </c>
      <c r="B211" s="15" t="s">
        <v>68</v>
      </c>
      <c r="C211" s="15" t="s">
        <v>701</v>
      </c>
      <c r="D211" s="15" t="s">
        <v>702</v>
      </c>
      <c r="E211" s="15" t="s">
        <v>259</v>
      </c>
      <c r="F211" s="24" t="s">
        <v>173</v>
      </c>
      <c r="G211" s="15" t="n">
        <f aca="false">IFERROR(INDEX(Decisions!$K$2:$K$122,MATCH(E211,Decisions!$A$2:$A$122,0)),"")</f>
        <v>0</v>
      </c>
    </row>
    <row r="212" customFormat="false" ht="15" hidden="false" customHeight="false" outlineLevel="0" collapsed="false">
      <c r="A212" s="15" t="s">
        <v>708</v>
      </c>
      <c r="B212" s="15" t="s">
        <v>68</v>
      </c>
      <c r="C212" s="15" t="s">
        <v>701</v>
      </c>
      <c r="D212" s="15" t="s">
        <v>702</v>
      </c>
      <c r="E212" s="15" t="s">
        <v>118</v>
      </c>
      <c r="F212" s="23" t="s">
        <v>97</v>
      </c>
      <c r="G212" s="15" t="n">
        <f aca="false">IFERROR(INDEX(Decisions!$K$2:$K$122,MATCH(E212,Decisions!$A$2:$A$122,0)),"")</f>
        <v>0</v>
      </c>
    </row>
    <row r="213" customFormat="false" ht="15" hidden="false" customHeight="false" outlineLevel="0" collapsed="false">
      <c r="A213" s="15" t="s">
        <v>709</v>
      </c>
      <c r="B213" s="15" t="s">
        <v>68</v>
      </c>
      <c r="C213" s="15" t="s">
        <v>679</v>
      </c>
      <c r="D213" s="15" t="s">
        <v>651</v>
      </c>
      <c r="E213" s="15" t="s">
        <v>94</v>
      </c>
      <c r="F213" s="23" t="s">
        <v>97</v>
      </c>
      <c r="G213" s="15" t="n">
        <f aca="false">IFERROR(INDEX(Decisions!$K$2:$K$122,MATCH(E213,Decisions!$A$2:$A$122,0)),"")</f>
        <v>0</v>
      </c>
    </row>
    <row r="214" customFormat="false" ht="15" hidden="false" customHeight="false" outlineLevel="0" collapsed="false">
      <c r="A214" s="15" t="s">
        <v>710</v>
      </c>
      <c r="B214" s="15" t="s">
        <v>68</v>
      </c>
      <c r="C214" s="15" t="s">
        <v>679</v>
      </c>
      <c r="D214" s="15" t="s">
        <v>651</v>
      </c>
      <c r="E214" s="15" t="s">
        <v>183</v>
      </c>
      <c r="F214" s="24" t="s">
        <v>173</v>
      </c>
      <c r="G214" s="15" t="n">
        <f aca="false">IFERROR(INDEX(Decisions!$K$2:$K$122,MATCH(E214,Decisions!$A$2:$A$122,0)),"")</f>
        <v>0</v>
      </c>
    </row>
    <row r="215" customFormat="false" ht="15" hidden="false" customHeight="false" outlineLevel="0" collapsed="false">
      <c r="A215" s="15" t="s">
        <v>711</v>
      </c>
      <c r="B215" s="15" t="s">
        <v>68</v>
      </c>
      <c r="C215" s="15" t="s">
        <v>662</v>
      </c>
      <c r="D215" s="15" t="s">
        <v>712</v>
      </c>
      <c r="E215" s="15" t="s">
        <v>94</v>
      </c>
      <c r="F215" s="23" t="s">
        <v>97</v>
      </c>
      <c r="G215" s="15" t="n">
        <f aca="false">IFERROR(INDEX(Decisions!$K$2:$K$122,MATCH(E215,Decisions!$A$2:$A$122,0)),"")</f>
        <v>0</v>
      </c>
    </row>
    <row r="216" customFormat="false" ht="15" hidden="false" customHeight="false" outlineLevel="0" collapsed="false">
      <c r="A216" s="15" t="s">
        <v>713</v>
      </c>
      <c r="B216" s="15" t="s">
        <v>68</v>
      </c>
      <c r="C216" s="15" t="s">
        <v>662</v>
      </c>
      <c r="D216" s="15" t="s">
        <v>712</v>
      </c>
      <c r="E216" s="15" t="s">
        <v>183</v>
      </c>
      <c r="F216" s="24" t="s">
        <v>173</v>
      </c>
      <c r="G216" s="15" t="n">
        <f aca="false">IFERROR(INDEX(Decisions!$K$2:$K$122,MATCH(E216,Decisions!$A$2:$A$122,0)),"")</f>
        <v>0</v>
      </c>
    </row>
    <row r="217" customFormat="false" ht="15" hidden="false" customHeight="false" outlineLevel="0" collapsed="false">
      <c r="A217" s="15" t="s">
        <v>714</v>
      </c>
      <c r="B217" s="15" t="s">
        <v>68</v>
      </c>
      <c r="C217" s="15" t="s">
        <v>715</v>
      </c>
      <c r="D217" s="15" t="s">
        <v>716</v>
      </c>
      <c r="E217" s="15" t="s">
        <v>281</v>
      </c>
      <c r="F217" s="24" t="s">
        <v>173</v>
      </c>
      <c r="G217" s="15" t="n">
        <f aca="false">IFERROR(INDEX(Decisions!$K$2:$K$122,MATCH(E217,Decisions!$A$2:$A$122,0)),"")</f>
        <v>0</v>
      </c>
    </row>
    <row r="218" customFormat="false" ht="15" hidden="false" customHeight="false" outlineLevel="0" collapsed="false">
      <c r="A218" s="15" t="s">
        <v>717</v>
      </c>
      <c r="B218" s="15" t="s">
        <v>68</v>
      </c>
      <c r="C218" s="15" t="s">
        <v>715</v>
      </c>
      <c r="D218" s="15" t="s">
        <v>718</v>
      </c>
      <c r="E218" s="15" t="s">
        <v>281</v>
      </c>
      <c r="F218" s="24" t="s">
        <v>173</v>
      </c>
      <c r="G218" s="15" t="n">
        <f aca="false">IFERROR(INDEX(Decisions!$K$2:$K$122,MATCH(E218,Decisions!$A$2:$A$122,0)),"")</f>
        <v>0</v>
      </c>
    </row>
    <row r="219" customFormat="false" ht="15" hidden="false" customHeight="false" outlineLevel="0" collapsed="false">
      <c r="A219" s="15" t="s">
        <v>719</v>
      </c>
      <c r="B219" s="15" t="s">
        <v>68</v>
      </c>
      <c r="C219" s="15" t="s">
        <v>720</v>
      </c>
      <c r="D219" s="15" t="s">
        <v>656</v>
      </c>
      <c r="E219" s="15" t="s">
        <v>110</v>
      </c>
      <c r="F219" s="23" t="s">
        <v>97</v>
      </c>
      <c r="G219" s="15" t="n">
        <f aca="false">IFERROR(INDEX(Decisions!$K$2:$K$122,MATCH(E219,Decisions!$A$2:$A$122,0)),"")</f>
        <v>0</v>
      </c>
    </row>
    <row r="220" customFormat="false" ht="15" hidden="false" customHeight="false" outlineLevel="0" collapsed="false">
      <c r="A220" s="15" t="s">
        <v>721</v>
      </c>
      <c r="B220" s="15" t="s">
        <v>68</v>
      </c>
      <c r="C220" s="15" t="s">
        <v>720</v>
      </c>
      <c r="D220" s="15" t="s">
        <v>656</v>
      </c>
      <c r="E220" s="15" t="s">
        <v>198</v>
      </c>
      <c r="F220" s="24" t="s">
        <v>173</v>
      </c>
      <c r="G220" s="15" t="n">
        <f aca="false">IFERROR(INDEX(Decisions!$K$2:$K$122,MATCH(E220,Decisions!$A$2:$A$122,0)),"")</f>
        <v>0</v>
      </c>
    </row>
    <row r="221" customFormat="false" ht="15" hidden="false" customHeight="false" outlineLevel="0" collapsed="false">
      <c r="A221" s="15" t="s">
        <v>722</v>
      </c>
      <c r="B221" s="15" t="s">
        <v>68</v>
      </c>
      <c r="C221" s="15" t="s">
        <v>723</v>
      </c>
      <c r="D221" s="15" t="s">
        <v>724</v>
      </c>
      <c r="E221" s="15" t="s">
        <v>170</v>
      </c>
      <c r="F221" s="24" t="s">
        <v>173</v>
      </c>
      <c r="G221" s="15" t="n">
        <f aca="false">IFERROR(INDEX(Decisions!$K$2:$K$122,MATCH(E221,Decisions!$A$2:$A$122,0)),"")</f>
        <v>0</v>
      </c>
    </row>
    <row r="222" customFormat="false" ht="15" hidden="false" customHeight="false" outlineLevel="0" collapsed="false">
      <c r="A222" s="15" t="s">
        <v>725</v>
      </c>
      <c r="B222" s="15" t="s">
        <v>68</v>
      </c>
      <c r="C222" s="15" t="s">
        <v>723</v>
      </c>
      <c r="D222" s="15" t="s">
        <v>726</v>
      </c>
      <c r="E222" s="15" t="s">
        <v>177</v>
      </c>
      <c r="F222" s="24" t="s">
        <v>173</v>
      </c>
      <c r="G222" s="15" t="n">
        <f aca="false">IFERROR(INDEX(Decisions!$K$2:$K$122,MATCH(E222,Decisions!$A$2:$A$122,0)),"")</f>
        <v>0</v>
      </c>
    </row>
    <row r="223" customFormat="false" ht="15" hidden="false" customHeight="false" outlineLevel="0" collapsed="false">
      <c r="A223" s="15" t="s">
        <v>727</v>
      </c>
      <c r="B223" s="15" t="s">
        <v>68</v>
      </c>
      <c r="C223" s="15" t="s">
        <v>723</v>
      </c>
      <c r="D223" s="15" t="s">
        <v>728</v>
      </c>
      <c r="E223" s="15" t="s">
        <v>177</v>
      </c>
      <c r="F223" s="24" t="s">
        <v>173</v>
      </c>
      <c r="G223" s="15" t="n">
        <f aca="false">IFERROR(INDEX(Decisions!$K$2:$K$122,MATCH(E223,Decisions!$A$2:$A$122,0)),"")</f>
        <v>0</v>
      </c>
    </row>
    <row r="224" customFormat="false" ht="15" hidden="false" customHeight="false" outlineLevel="0" collapsed="false">
      <c r="A224" s="15" t="s">
        <v>729</v>
      </c>
      <c r="B224" s="15" t="s">
        <v>68</v>
      </c>
      <c r="C224" s="15" t="s">
        <v>723</v>
      </c>
      <c r="D224" s="15" t="s">
        <v>730</v>
      </c>
      <c r="E224" s="15" t="s">
        <v>228</v>
      </c>
      <c r="F224" s="24" t="s">
        <v>173</v>
      </c>
      <c r="G224" s="15" t="n">
        <f aca="false">IFERROR(INDEX(Decisions!$K$2:$K$122,MATCH(E224,Decisions!$A$2:$A$122,0)),"")</f>
        <v>0</v>
      </c>
    </row>
    <row r="225" customFormat="false" ht="15" hidden="false" customHeight="false" outlineLevel="0" collapsed="false">
      <c r="A225" s="15" t="s">
        <v>731</v>
      </c>
      <c r="B225" s="15" t="s">
        <v>68</v>
      </c>
      <c r="C225" s="15" t="s">
        <v>723</v>
      </c>
      <c r="D225" s="15" t="s">
        <v>730</v>
      </c>
      <c r="E225" s="15" t="s">
        <v>170</v>
      </c>
      <c r="F225" s="24" t="s">
        <v>173</v>
      </c>
      <c r="G225" s="15" t="n">
        <f aca="false">IFERROR(INDEX(Decisions!$K$2:$K$122,MATCH(E225,Decisions!$A$2:$A$122,0)),"")</f>
        <v>0</v>
      </c>
    </row>
    <row r="226" customFormat="false" ht="15" hidden="false" customHeight="false" outlineLevel="0" collapsed="false">
      <c r="A226" s="15" t="s">
        <v>732</v>
      </c>
      <c r="B226" s="15" t="s">
        <v>68</v>
      </c>
      <c r="C226" s="15" t="s">
        <v>723</v>
      </c>
      <c r="D226" s="15" t="s">
        <v>733</v>
      </c>
      <c r="E226" s="15" t="s">
        <v>170</v>
      </c>
      <c r="F226" s="24" t="s">
        <v>173</v>
      </c>
      <c r="G226" s="15" t="n">
        <f aca="false">IFERROR(INDEX(Decisions!$K$2:$K$122,MATCH(E226,Decisions!$A$2:$A$122,0)),"")</f>
        <v>0</v>
      </c>
    </row>
    <row r="227" customFormat="false" ht="15" hidden="false" customHeight="false" outlineLevel="0" collapsed="false">
      <c r="A227" s="15" t="s">
        <v>734</v>
      </c>
      <c r="B227" s="15" t="s">
        <v>68</v>
      </c>
      <c r="C227" s="15" t="s">
        <v>735</v>
      </c>
      <c r="D227" s="15" t="s">
        <v>736</v>
      </c>
      <c r="E227" s="15" t="s">
        <v>101</v>
      </c>
      <c r="F227" s="23" t="s">
        <v>97</v>
      </c>
      <c r="G227" s="15" t="n">
        <f aca="false">IFERROR(INDEX(Decisions!$K$2:$K$122,MATCH(E227,Decisions!$A$2:$A$122,0)),"")</f>
        <v>0</v>
      </c>
    </row>
    <row r="228" customFormat="false" ht="15" hidden="false" customHeight="false" outlineLevel="0" collapsed="false">
      <c r="A228" s="15" t="s">
        <v>737</v>
      </c>
      <c r="B228" s="15" t="s">
        <v>68</v>
      </c>
      <c r="C228" s="15" t="s">
        <v>735</v>
      </c>
      <c r="D228" s="15" t="s">
        <v>736</v>
      </c>
      <c r="E228" s="15" t="s">
        <v>104</v>
      </c>
      <c r="F228" s="23" t="s">
        <v>97</v>
      </c>
      <c r="G228" s="15" t="n">
        <f aca="false">IFERROR(INDEX(Decisions!$K$2:$K$122,MATCH(E228,Decisions!$A$2:$A$122,0)),"")</f>
        <v>0</v>
      </c>
    </row>
    <row r="229" customFormat="false" ht="15" hidden="false" customHeight="false" outlineLevel="0" collapsed="false">
      <c r="A229" s="15" t="s">
        <v>738</v>
      </c>
      <c r="B229" s="15" t="s">
        <v>68</v>
      </c>
      <c r="C229" s="15" t="s">
        <v>735</v>
      </c>
      <c r="D229" s="15" t="s">
        <v>736</v>
      </c>
      <c r="E229" s="15" t="s">
        <v>201</v>
      </c>
      <c r="F229" s="24" t="s">
        <v>173</v>
      </c>
      <c r="G229" s="15" t="n">
        <f aca="false">IFERROR(INDEX(Decisions!$K$2:$K$122,MATCH(E229,Decisions!$A$2:$A$122,0)),"")</f>
        <v>0</v>
      </c>
    </row>
    <row r="230" customFormat="false" ht="15" hidden="false" customHeight="false" outlineLevel="0" collapsed="false">
      <c r="A230" s="15" t="s">
        <v>739</v>
      </c>
      <c r="B230" s="15" t="s">
        <v>68</v>
      </c>
      <c r="C230" s="15" t="s">
        <v>735</v>
      </c>
      <c r="D230" s="15" t="s">
        <v>736</v>
      </c>
      <c r="E230" s="15" t="s">
        <v>209</v>
      </c>
      <c r="F230" s="24" t="s">
        <v>173</v>
      </c>
      <c r="G230" s="15" t="n">
        <f aca="false">IFERROR(INDEX(Decisions!$K$2:$K$122,MATCH(E230,Decisions!$A$2:$A$122,0)),"")</f>
        <v>0</v>
      </c>
    </row>
    <row r="231" customFormat="false" ht="15" hidden="false" customHeight="false" outlineLevel="0" collapsed="false">
      <c r="A231" s="15" t="s">
        <v>740</v>
      </c>
      <c r="B231" s="15" t="s">
        <v>68</v>
      </c>
      <c r="C231" s="15" t="s">
        <v>735</v>
      </c>
      <c r="D231" s="15" t="s">
        <v>736</v>
      </c>
      <c r="E231" s="15" t="s">
        <v>206</v>
      </c>
      <c r="F231" s="24" t="s">
        <v>173</v>
      </c>
      <c r="G231" s="15" t="n">
        <f aca="false">IFERROR(INDEX(Decisions!$K$2:$K$122,MATCH(E231,Decisions!$A$2:$A$122,0)),"")</f>
        <v>0</v>
      </c>
    </row>
    <row r="232" customFormat="false" ht="15" hidden="false" customHeight="false" outlineLevel="0" collapsed="false">
      <c r="A232" s="15" t="s">
        <v>741</v>
      </c>
      <c r="B232" s="15" t="s">
        <v>68</v>
      </c>
      <c r="C232" s="15" t="s">
        <v>742</v>
      </c>
      <c r="D232" s="15" t="s">
        <v>743</v>
      </c>
      <c r="E232" s="15" t="s">
        <v>113</v>
      </c>
      <c r="F232" s="23" t="s">
        <v>97</v>
      </c>
      <c r="G232" s="15" t="n">
        <f aca="false">IFERROR(INDEX(Decisions!$K$2:$K$122,MATCH(E232,Decisions!$A$2:$A$122,0)),"")</f>
        <v>0</v>
      </c>
    </row>
    <row r="233" customFormat="false" ht="15" hidden="false" customHeight="false" outlineLevel="0" collapsed="false">
      <c r="A233" s="15" t="s">
        <v>744</v>
      </c>
      <c r="B233" s="15" t="s">
        <v>68</v>
      </c>
      <c r="C233" s="15" t="s">
        <v>742</v>
      </c>
      <c r="D233" s="15" t="s">
        <v>743</v>
      </c>
      <c r="E233" s="15" t="s">
        <v>116</v>
      </c>
      <c r="F233" s="23" t="s">
        <v>97</v>
      </c>
      <c r="G233" s="15" t="n">
        <f aca="false">IFERROR(INDEX(Decisions!$K$2:$K$122,MATCH(E233,Decisions!$A$2:$A$122,0)),"")</f>
        <v>0</v>
      </c>
    </row>
    <row r="234" customFormat="false" ht="15" hidden="false" customHeight="false" outlineLevel="0" collapsed="false">
      <c r="A234" s="15" t="s">
        <v>745</v>
      </c>
      <c r="B234" s="15" t="s">
        <v>68</v>
      </c>
      <c r="C234" s="15" t="s">
        <v>742</v>
      </c>
      <c r="D234" s="15" t="s">
        <v>743</v>
      </c>
      <c r="E234" s="15" t="s">
        <v>225</v>
      </c>
      <c r="F234" s="24" t="s">
        <v>173</v>
      </c>
      <c r="G234" s="15" t="n">
        <f aca="false">IFERROR(INDEX(Decisions!$K$2:$K$122,MATCH(E234,Decisions!$A$2:$A$122,0)),"")</f>
        <v>0</v>
      </c>
    </row>
    <row r="235" customFormat="false" ht="15" hidden="false" customHeight="false" outlineLevel="0" collapsed="false">
      <c r="A235" s="15" t="s">
        <v>746</v>
      </c>
      <c r="B235" s="15" t="s">
        <v>68</v>
      </c>
      <c r="C235" s="15" t="s">
        <v>742</v>
      </c>
      <c r="D235" s="15" t="s">
        <v>743</v>
      </c>
      <c r="E235" s="15" t="s">
        <v>231</v>
      </c>
      <c r="F235" s="24" t="s">
        <v>173</v>
      </c>
      <c r="G235" s="15" t="n">
        <f aca="false">IFERROR(INDEX(Decisions!$K$2:$K$122,MATCH(E235,Decisions!$A$2:$A$122,0)),"")</f>
        <v>0</v>
      </c>
    </row>
    <row r="236" customFormat="false" ht="15" hidden="false" customHeight="false" outlineLevel="0" collapsed="false">
      <c r="A236" s="15" t="s">
        <v>747</v>
      </c>
      <c r="B236" s="15" t="s">
        <v>68</v>
      </c>
      <c r="C236" s="15" t="s">
        <v>742</v>
      </c>
      <c r="D236" s="15" t="s">
        <v>743</v>
      </c>
      <c r="E236" s="15" t="s">
        <v>218</v>
      </c>
      <c r="F236" s="24" t="s">
        <v>173</v>
      </c>
      <c r="G236" s="15" t="n">
        <f aca="false">IFERROR(INDEX(Decisions!$K$2:$K$122,MATCH(E236,Decisions!$A$2:$A$122,0)),"")</f>
        <v>0</v>
      </c>
    </row>
    <row r="237" customFormat="false" ht="15" hidden="false" customHeight="false" outlineLevel="0" collapsed="false">
      <c r="A237" s="15" t="s">
        <v>748</v>
      </c>
      <c r="B237" s="15" t="s">
        <v>68</v>
      </c>
      <c r="C237" s="15" t="s">
        <v>742</v>
      </c>
      <c r="D237" s="15" t="s">
        <v>743</v>
      </c>
      <c r="E237" s="15" t="s">
        <v>259</v>
      </c>
      <c r="F237" s="24" t="s">
        <v>173</v>
      </c>
      <c r="G237" s="15" t="n">
        <f aca="false">IFERROR(INDEX(Decisions!$K$2:$K$122,MATCH(E237,Decisions!$A$2:$A$122,0)),"")</f>
        <v>0</v>
      </c>
    </row>
    <row r="238" customFormat="false" ht="15" hidden="false" customHeight="false" outlineLevel="0" collapsed="false">
      <c r="A238" s="15" t="s">
        <v>749</v>
      </c>
      <c r="B238" s="15" t="s">
        <v>68</v>
      </c>
      <c r="C238" s="15" t="s">
        <v>742</v>
      </c>
      <c r="D238" s="15" t="s">
        <v>743</v>
      </c>
      <c r="E238" s="15" t="s">
        <v>118</v>
      </c>
      <c r="F238" s="23" t="s">
        <v>97</v>
      </c>
      <c r="G238" s="15" t="n">
        <f aca="false">IFERROR(INDEX(Decisions!$K$2:$K$122,MATCH(E238,Decisions!$A$2:$A$122,0)),"")</f>
        <v>0</v>
      </c>
    </row>
    <row r="239" customFormat="false" ht="15" hidden="false" customHeight="false" outlineLevel="0" collapsed="false">
      <c r="A239" s="15" t="s">
        <v>750</v>
      </c>
      <c r="B239" s="15" t="s">
        <v>68</v>
      </c>
      <c r="C239" s="15" t="s">
        <v>751</v>
      </c>
      <c r="D239" s="15" t="s">
        <v>592</v>
      </c>
      <c r="E239" s="15" t="s">
        <v>240</v>
      </c>
      <c r="F239" s="24" t="s">
        <v>173</v>
      </c>
      <c r="G239" s="15" t="n">
        <f aca="false">IFERROR(INDEX(Decisions!$K$2:$K$122,MATCH(E239,Decisions!$A$2:$A$122,0)),"")</f>
        <v>0</v>
      </c>
    </row>
    <row r="240" customFormat="false" ht="15" hidden="false" customHeight="false" outlineLevel="0" collapsed="false">
      <c r="A240" s="15" t="s">
        <v>752</v>
      </c>
      <c r="B240" s="15" t="s">
        <v>68</v>
      </c>
      <c r="C240" s="15" t="s">
        <v>751</v>
      </c>
      <c r="D240" s="15" t="s">
        <v>592</v>
      </c>
      <c r="E240" s="15" t="s">
        <v>245</v>
      </c>
      <c r="F240" s="24" t="s">
        <v>173</v>
      </c>
      <c r="G240" s="15" t="n">
        <f aca="false">IFERROR(INDEX(Decisions!$K$2:$K$122,MATCH(E240,Decisions!$A$2:$A$122,0)),"")</f>
        <v>0</v>
      </c>
    </row>
    <row r="241" customFormat="false" ht="15" hidden="false" customHeight="false" outlineLevel="0" collapsed="false">
      <c r="A241" s="15" t="s">
        <v>753</v>
      </c>
      <c r="B241" s="15" t="s">
        <v>68</v>
      </c>
      <c r="C241" s="15" t="s">
        <v>735</v>
      </c>
      <c r="D241" s="15" t="s">
        <v>754</v>
      </c>
      <c r="E241" s="15" t="s">
        <v>94</v>
      </c>
      <c r="F241" s="23" t="s">
        <v>97</v>
      </c>
      <c r="G241" s="15" t="n">
        <f aca="false">IFERROR(INDEX(Decisions!$K$2:$K$122,MATCH(E241,Decisions!$A$2:$A$122,0)),"")</f>
        <v>0</v>
      </c>
    </row>
    <row r="242" customFormat="false" ht="15" hidden="false" customHeight="false" outlineLevel="0" collapsed="false">
      <c r="A242" s="15" t="s">
        <v>755</v>
      </c>
      <c r="B242" s="15" t="s">
        <v>68</v>
      </c>
      <c r="C242" s="15" t="s">
        <v>735</v>
      </c>
      <c r="D242" s="15" t="s">
        <v>754</v>
      </c>
      <c r="E242" s="15" t="s">
        <v>215</v>
      </c>
      <c r="F242" s="24" t="s">
        <v>173</v>
      </c>
      <c r="G242" s="15" t="n">
        <f aca="false">IFERROR(INDEX(Decisions!$K$2:$K$122,MATCH(E242,Decisions!$A$2:$A$122,0)),"")</f>
        <v>0</v>
      </c>
    </row>
    <row r="243" customFormat="false" ht="15" hidden="false" customHeight="false" outlineLevel="0" collapsed="false">
      <c r="A243" s="15" t="s">
        <v>756</v>
      </c>
      <c r="B243" s="15" t="s">
        <v>68</v>
      </c>
      <c r="C243" s="15" t="s">
        <v>735</v>
      </c>
      <c r="D243" s="15" t="s">
        <v>754</v>
      </c>
      <c r="E243" s="15" t="s">
        <v>183</v>
      </c>
      <c r="F243" s="24" t="s">
        <v>173</v>
      </c>
      <c r="G243" s="15" t="n">
        <f aca="false">IFERROR(INDEX(Decisions!$K$2:$K$122,MATCH(E243,Decisions!$A$2:$A$122,0)),"")</f>
        <v>0</v>
      </c>
    </row>
    <row r="244" customFormat="false" ht="15" hidden="false" customHeight="false" outlineLevel="0" collapsed="false">
      <c r="A244" s="15" t="s">
        <v>757</v>
      </c>
      <c r="B244" s="15" t="s">
        <v>68</v>
      </c>
      <c r="C244" s="15" t="s">
        <v>758</v>
      </c>
      <c r="D244" s="15" t="s">
        <v>596</v>
      </c>
      <c r="E244" s="15" t="s">
        <v>222</v>
      </c>
      <c r="F244" s="24" t="s">
        <v>173</v>
      </c>
      <c r="G244" s="15" t="n">
        <f aca="false">IFERROR(INDEX(Decisions!$K$2:$K$122,MATCH(E244,Decisions!$A$2:$A$122,0)),"")</f>
        <v>0</v>
      </c>
    </row>
    <row r="245" customFormat="false" ht="15" hidden="false" customHeight="false" outlineLevel="0" collapsed="false">
      <c r="A245" s="15" t="s">
        <v>759</v>
      </c>
      <c r="B245" s="15" t="s">
        <v>68</v>
      </c>
      <c r="C245" s="15" t="s">
        <v>758</v>
      </c>
      <c r="D245" s="15" t="s">
        <v>598</v>
      </c>
      <c r="E245" s="15" t="s">
        <v>110</v>
      </c>
      <c r="F245" s="23" t="s">
        <v>97</v>
      </c>
      <c r="G245" s="15" t="n">
        <f aca="false">IFERROR(INDEX(Decisions!$K$2:$K$122,MATCH(E245,Decisions!$A$2:$A$122,0)),"")</f>
        <v>0</v>
      </c>
    </row>
    <row r="246" customFormat="false" ht="15" hidden="false" customHeight="false" outlineLevel="0" collapsed="false">
      <c r="A246" s="15" t="s">
        <v>760</v>
      </c>
      <c r="B246" s="15" t="s">
        <v>68</v>
      </c>
      <c r="C246" s="15" t="s">
        <v>758</v>
      </c>
      <c r="D246" s="15" t="s">
        <v>598</v>
      </c>
      <c r="E246" s="15" t="s">
        <v>198</v>
      </c>
      <c r="F246" s="24" t="s">
        <v>173</v>
      </c>
      <c r="G246" s="15" t="n">
        <f aca="false">IFERROR(INDEX(Decisions!$K$2:$K$122,MATCH(E246,Decisions!$A$2:$A$122,0)),"")</f>
        <v>0</v>
      </c>
    </row>
    <row r="247" customFormat="false" ht="15" hidden="false" customHeight="false" outlineLevel="0" collapsed="false">
      <c r="A247" s="15" t="s">
        <v>761</v>
      </c>
      <c r="B247" s="15" t="s">
        <v>68</v>
      </c>
      <c r="C247" s="15" t="s">
        <v>762</v>
      </c>
      <c r="D247" s="15" t="s">
        <v>763</v>
      </c>
      <c r="E247" s="15" t="s">
        <v>149</v>
      </c>
      <c r="F247" s="23" t="s">
        <v>97</v>
      </c>
      <c r="G247" s="15" t="n">
        <f aca="false">IFERROR(INDEX(Decisions!$K$2:$K$122,MATCH(E247,Decisions!$A$2:$A$122,0)),"")</f>
        <v>0</v>
      </c>
    </row>
    <row r="248" customFormat="false" ht="15" hidden="false" customHeight="false" outlineLevel="0" collapsed="false">
      <c r="A248" s="15" t="s">
        <v>764</v>
      </c>
      <c r="B248" s="15" t="s">
        <v>68</v>
      </c>
      <c r="C248" s="15" t="s">
        <v>762</v>
      </c>
      <c r="D248" s="15" t="s">
        <v>763</v>
      </c>
      <c r="E248" s="15" t="s">
        <v>309</v>
      </c>
      <c r="F248" s="24" t="s">
        <v>173</v>
      </c>
      <c r="G248" s="15" t="n">
        <f aca="false">IFERROR(INDEX(Decisions!$K$2:$K$122,MATCH(E248,Decisions!$A$2:$A$122,0)),"")</f>
        <v>0</v>
      </c>
    </row>
    <row r="249" customFormat="false" ht="15" hidden="false" customHeight="false" outlineLevel="0" collapsed="false">
      <c r="A249" s="15" t="s">
        <v>765</v>
      </c>
      <c r="B249" s="15" t="s">
        <v>68</v>
      </c>
      <c r="C249" s="15" t="s">
        <v>762</v>
      </c>
      <c r="D249" s="15" t="s">
        <v>763</v>
      </c>
      <c r="E249" s="15" t="s">
        <v>311</v>
      </c>
      <c r="F249" s="24" t="s">
        <v>173</v>
      </c>
      <c r="G249" s="15" t="n">
        <f aca="false">IFERROR(INDEX(Decisions!$K$2:$K$122,MATCH(E249,Decisions!$A$2:$A$122,0)),"")</f>
        <v>0</v>
      </c>
    </row>
    <row r="250" customFormat="false" ht="15" hidden="false" customHeight="false" outlineLevel="0" collapsed="false">
      <c r="A250" s="15" t="s">
        <v>766</v>
      </c>
      <c r="B250" s="15" t="s">
        <v>68</v>
      </c>
      <c r="C250" s="15" t="s">
        <v>767</v>
      </c>
      <c r="D250" s="15" t="s">
        <v>768</v>
      </c>
      <c r="E250" s="15" t="s">
        <v>66</v>
      </c>
      <c r="F250" s="25" t="s">
        <v>26</v>
      </c>
      <c r="G250" s="15" t="str">
        <f aca="false">IFERROR(INDEX(Decisions!$K$2:$K$122,MATCH(E250,Decisions!$A$2:$A$122,0)),"")</f>
        <v>keep</v>
      </c>
    </row>
    <row r="251" customFormat="false" ht="15" hidden="false" customHeight="false" outlineLevel="0" collapsed="false">
      <c r="A251" s="15" t="s">
        <v>769</v>
      </c>
      <c r="B251" s="15" t="s">
        <v>68</v>
      </c>
      <c r="C251" s="15" t="s">
        <v>767</v>
      </c>
      <c r="D251" s="15" t="s">
        <v>768</v>
      </c>
      <c r="E251" s="15" t="s">
        <v>128</v>
      </c>
      <c r="F251" s="23" t="s">
        <v>97</v>
      </c>
      <c r="G251" s="15" t="n">
        <f aca="false">IFERROR(INDEX(Decisions!$K$2:$K$122,MATCH(E251,Decisions!$A$2:$A$122,0)),"")</f>
        <v>0</v>
      </c>
    </row>
    <row r="252" customFormat="false" ht="15" hidden="false" customHeight="false" outlineLevel="0" collapsed="false">
      <c r="A252" s="15" t="s">
        <v>770</v>
      </c>
      <c r="B252" s="15" t="s">
        <v>68</v>
      </c>
      <c r="C252" s="15" t="s">
        <v>767</v>
      </c>
      <c r="D252" s="15" t="s">
        <v>768</v>
      </c>
      <c r="E252" s="15" t="s">
        <v>135</v>
      </c>
      <c r="F252" s="23" t="s">
        <v>97</v>
      </c>
      <c r="G252" s="15" t="n">
        <f aca="false">IFERROR(INDEX(Decisions!$K$2:$K$122,MATCH(E252,Decisions!$A$2:$A$122,0)),"")</f>
        <v>0</v>
      </c>
    </row>
    <row r="253" customFormat="false" ht="15" hidden="false" customHeight="false" outlineLevel="0" collapsed="false">
      <c r="A253" s="15" t="s">
        <v>771</v>
      </c>
      <c r="B253" s="15" t="s">
        <v>68</v>
      </c>
      <c r="C253" s="15" t="s">
        <v>772</v>
      </c>
      <c r="D253" s="15" t="s">
        <v>773</v>
      </c>
      <c r="E253" s="15" t="s">
        <v>170</v>
      </c>
      <c r="F253" s="24" t="s">
        <v>173</v>
      </c>
      <c r="G253" s="15" t="n">
        <f aca="false">IFERROR(INDEX(Decisions!$K$2:$K$122,MATCH(E253,Decisions!$A$2:$A$122,0)),"")</f>
        <v>0</v>
      </c>
    </row>
    <row r="254" customFormat="false" ht="15" hidden="false" customHeight="false" outlineLevel="0" collapsed="false">
      <c r="A254" s="15" t="s">
        <v>774</v>
      </c>
      <c r="B254" s="15" t="s">
        <v>68</v>
      </c>
      <c r="C254" s="15" t="s">
        <v>772</v>
      </c>
      <c r="D254" s="15" t="s">
        <v>775</v>
      </c>
      <c r="E254" s="15" t="s">
        <v>170</v>
      </c>
      <c r="F254" s="24" t="s">
        <v>173</v>
      </c>
      <c r="G254" s="15" t="n">
        <f aca="false">IFERROR(INDEX(Decisions!$K$2:$K$122,MATCH(E254,Decisions!$A$2:$A$122,0)),"")</f>
        <v>0</v>
      </c>
    </row>
    <row r="255" customFormat="false" ht="15" hidden="false" customHeight="false" outlineLevel="0" collapsed="false">
      <c r="A255" s="15" t="s">
        <v>776</v>
      </c>
      <c r="B255" s="15" t="s">
        <v>68</v>
      </c>
      <c r="C255" s="15" t="s">
        <v>777</v>
      </c>
      <c r="D255" s="15" t="s">
        <v>778</v>
      </c>
      <c r="E255" s="15" t="s">
        <v>290</v>
      </c>
      <c r="F255" s="24" t="s">
        <v>173</v>
      </c>
      <c r="G255" s="15" t="n">
        <f aca="false">IFERROR(INDEX(Decisions!$K$2:$K$122,MATCH(E255,Decisions!$A$2:$A$122,0)),"")</f>
        <v>0</v>
      </c>
    </row>
    <row r="256" customFormat="false" ht="15" hidden="false" customHeight="false" outlineLevel="0" collapsed="false">
      <c r="A256" s="15" t="s">
        <v>779</v>
      </c>
      <c r="B256" s="15" t="s">
        <v>68</v>
      </c>
      <c r="C256" s="15" t="s">
        <v>772</v>
      </c>
      <c r="D256" s="15" t="s">
        <v>780</v>
      </c>
      <c r="E256" s="15" t="s">
        <v>177</v>
      </c>
      <c r="F256" s="24" t="s">
        <v>173</v>
      </c>
      <c r="G256" s="15" t="n">
        <f aca="false">IFERROR(INDEX(Decisions!$K$2:$K$122,MATCH(E256,Decisions!$A$2:$A$122,0)),"")</f>
        <v>0</v>
      </c>
    </row>
    <row r="257" customFormat="false" ht="15" hidden="false" customHeight="false" outlineLevel="0" collapsed="false">
      <c r="A257" s="15" t="s">
        <v>781</v>
      </c>
      <c r="B257" s="15" t="s">
        <v>68</v>
      </c>
      <c r="C257" s="15" t="s">
        <v>772</v>
      </c>
      <c r="D257" s="15" t="s">
        <v>782</v>
      </c>
      <c r="E257" s="15" t="s">
        <v>177</v>
      </c>
      <c r="F257" s="24" t="s">
        <v>173</v>
      </c>
      <c r="G257" s="15" t="n">
        <f aca="false">IFERROR(INDEX(Decisions!$K$2:$K$122,MATCH(E257,Decisions!$A$2:$A$122,0)),"")</f>
        <v>0</v>
      </c>
    </row>
    <row r="258" customFormat="false" ht="15" hidden="false" customHeight="false" outlineLevel="0" collapsed="false">
      <c r="A258" s="15" t="s">
        <v>783</v>
      </c>
      <c r="B258" s="15" t="s">
        <v>68</v>
      </c>
      <c r="C258" s="15" t="s">
        <v>772</v>
      </c>
      <c r="D258" s="15" t="s">
        <v>784</v>
      </c>
      <c r="E258" s="15" t="s">
        <v>177</v>
      </c>
      <c r="F258" s="24" t="s">
        <v>173</v>
      </c>
      <c r="G258" s="15" t="n">
        <f aca="false">IFERROR(INDEX(Decisions!$K$2:$K$122,MATCH(E258,Decisions!$A$2:$A$122,0)),"")</f>
        <v>0</v>
      </c>
    </row>
    <row r="259" customFormat="false" ht="15" hidden="false" customHeight="false" outlineLevel="0" collapsed="false">
      <c r="A259" s="15" t="s">
        <v>785</v>
      </c>
      <c r="B259" s="15" t="s">
        <v>68</v>
      </c>
      <c r="C259" s="15" t="s">
        <v>772</v>
      </c>
      <c r="D259" s="15" t="s">
        <v>786</v>
      </c>
      <c r="E259" s="15" t="s">
        <v>177</v>
      </c>
      <c r="F259" s="24" t="s">
        <v>173</v>
      </c>
      <c r="G259" s="15" t="n">
        <f aca="false">IFERROR(INDEX(Decisions!$K$2:$K$122,MATCH(E259,Decisions!$A$2:$A$122,0)),"")</f>
        <v>0</v>
      </c>
    </row>
    <row r="260" customFormat="false" ht="15" hidden="false" customHeight="false" outlineLevel="0" collapsed="false">
      <c r="A260" s="15" t="s">
        <v>787</v>
      </c>
      <c r="B260" s="15" t="s">
        <v>68</v>
      </c>
      <c r="C260" s="15" t="s">
        <v>788</v>
      </c>
      <c r="D260" s="15" t="s">
        <v>789</v>
      </c>
      <c r="E260" s="15" t="s">
        <v>101</v>
      </c>
      <c r="F260" s="23" t="s">
        <v>97</v>
      </c>
      <c r="G260" s="15" t="n">
        <f aca="false">IFERROR(INDEX(Decisions!$K$2:$K$122,MATCH(E260,Decisions!$A$2:$A$122,0)),"")</f>
        <v>0</v>
      </c>
    </row>
    <row r="261" customFormat="false" ht="15" hidden="false" customHeight="false" outlineLevel="0" collapsed="false">
      <c r="A261" s="15" t="s">
        <v>790</v>
      </c>
      <c r="B261" s="15" t="s">
        <v>68</v>
      </c>
      <c r="C261" s="15" t="s">
        <v>788</v>
      </c>
      <c r="D261" s="15" t="s">
        <v>789</v>
      </c>
      <c r="E261" s="15" t="s">
        <v>104</v>
      </c>
      <c r="F261" s="23" t="s">
        <v>97</v>
      </c>
      <c r="G261" s="15" t="n">
        <f aca="false">IFERROR(INDEX(Decisions!$K$2:$K$122,MATCH(E261,Decisions!$A$2:$A$122,0)),"")</f>
        <v>0</v>
      </c>
    </row>
    <row r="262" customFormat="false" ht="15" hidden="false" customHeight="false" outlineLevel="0" collapsed="false">
      <c r="A262" s="15" t="s">
        <v>791</v>
      </c>
      <c r="B262" s="15" t="s">
        <v>68</v>
      </c>
      <c r="C262" s="15" t="s">
        <v>788</v>
      </c>
      <c r="D262" s="15" t="s">
        <v>789</v>
      </c>
      <c r="E262" s="15" t="s">
        <v>201</v>
      </c>
      <c r="F262" s="24" t="s">
        <v>173</v>
      </c>
      <c r="G262" s="15" t="n">
        <f aca="false">IFERROR(INDEX(Decisions!$K$2:$K$122,MATCH(E262,Decisions!$A$2:$A$122,0)),"")</f>
        <v>0</v>
      </c>
    </row>
    <row r="263" customFormat="false" ht="15" hidden="false" customHeight="false" outlineLevel="0" collapsed="false">
      <c r="A263" s="15" t="s">
        <v>792</v>
      </c>
      <c r="B263" s="15" t="s">
        <v>68</v>
      </c>
      <c r="C263" s="15" t="s">
        <v>788</v>
      </c>
      <c r="D263" s="15" t="s">
        <v>789</v>
      </c>
      <c r="E263" s="15" t="s">
        <v>209</v>
      </c>
      <c r="F263" s="24" t="s">
        <v>173</v>
      </c>
      <c r="G263" s="15" t="n">
        <f aca="false">IFERROR(INDEX(Decisions!$K$2:$K$122,MATCH(E263,Decisions!$A$2:$A$122,0)),"")</f>
        <v>0</v>
      </c>
    </row>
    <row r="264" customFormat="false" ht="15" hidden="false" customHeight="false" outlineLevel="0" collapsed="false">
      <c r="A264" s="15" t="s">
        <v>793</v>
      </c>
      <c r="B264" s="15" t="s">
        <v>68</v>
      </c>
      <c r="C264" s="15" t="s">
        <v>788</v>
      </c>
      <c r="D264" s="15" t="s">
        <v>789</v>
      </c>
      <c r="E264" s="15" t="s">
        <v>206</v>
      </c>
      <c r="F264" s="24" t="s">
        <v>173</v>
      </c>
      <c r="G264" s="15" t="n">
        <f aca="false">IFERROR(INDEX(Decisions!$K$2:$K$122,MATCH(E264,Decisions!$A$2:$A$122,0)),"")</f>
        <v>0</v>
      </c>
    </row>
    <row r="265" customFormat="false" ht="15" hidden="false" customHeight="false" outlineLevel="0" collapsed="false">
      <c r="A265" s="15" t="s">
        <v>794</v>
      </c>
      <c r="B265" s="15" t="s">
        <v>68</v>
      </c>
      <c r="C265" s="15" t="s">
        <v>788</v>
      </c>
      <c r="D265" s="15" t="s">
        <v>795</v>
      </c>
      <c r="E265" s="15" t="s">
        <v>101</v>
      </c>
      <c r="F265" s="23" t="s">
        <v>97</v>
      </c>
      <c r="G265" s="15" t="n">
        <f aca="false">IFERROR(INDEX(Decisions!$K$2:$K$122,MATCH(E265,Decisions!$A$2:$A$122,0)),"")</f>
        <v>0</v>
      </c>
    </row>
    <row r="266" customFormat="false" ht="15" hidden="false" customHeight="false" outlineLevel="0" collapsed="false">
      <c r="A266" s="15" t="s">
        <v>796</v>
      </c>
      <c r="B266" s="15" t="s">
        <v>68</v>
      </c>
      <c r="C266" s="15" t="s">
        <v>788</v>
      </c>
      <c r="D266" s="15" t="s">
        <v>795</v>
      </c>
      <c r="E266" s="15" t="s">
        <v>104</v>
      </c>
      <c r="F266" s="23" t="s">
        <v>97</v>
      </c>
      <c r="G266" s="15" t="n">
        <f aca="false">IFERROR(INDEX(Decisions!$K$2:$K$122,MATCH(E266,Decisions!$A$2:$A$122,0)),"")</f>
        <v>0</v>
      </c>
    </row>
    <row r="267" customFormat="false" ht="15" hidden="false" customHeight="false" outlineLevel="0" collapsed="false">
      <c r="A267" s="15" t="s">
        <v>797</v>
      </c>
      <c r="B267" s="15" t="s">
        <v>68</v>
      </c>
      <c r="C267" s="15" t="s">
        <v>788</v>
      </c>
      <c r="D267" s="15" t="s">
        <v>795</v>
      </c>
      <c r="E267" s="15" t="s">
        <v>201</v>
      </c>
      <c r="F267" s="24" t="s">
        <v>173</v>
      </c>
      <c r="G267" s="15" t="n">
        <f aca="false">IFERROR(INDEX(Decisions!$K$2:$K$122,MATCH(E267,Decisions!$A$2:$A$122,0)),"")</f>
        <v>0</v>
      </c>
    </row>
    <row r="268" customFormat="false" ht="15" hidden="false" customHeight="false" outlineLevel="0" collapsed="false">
      <c r="A268" s="15" t="s">
        <v>798</v>
      </c>
      <c r="B268" s="15" t="s">
        <v>68</v>
      </c>
      <c r="C268" s="15" t="s">
        <v>788</v>
      </c>
      <c r="D268" s="15" t="s">
        <v>795</v>
      </c>
      <c r="E268" s="15" t="s">
        <v>209</v>
      </c>
      <c r="F268" s="24" t="s">
        <v>173</v>
      </c>
      <c r="G268" s="15" t="n">
        <f aca="false">IFERROR(INDEX(Decisions!$K$2:$K$122,MATCH(E268,Decisions!$A$2:$A$122,0)),"")</f>
        <v>0</v>
      </c>
    </row>
    <row r="269" customFormat="false" ht="15" hidden="false" customHeight="false" outlineLevel="0" collapsed="false">
      <c r="A269" s="15" t="s">
        <v>799</v>
      </c>
      <c r="B269" s="15" t="s">
        <v>68</v>
      </c>
      <c r="C269" s="15" t="s">
        <v>777</v>
      </c>
      <c r="D269" s="15" t="s">
        <v>800</v>
      </c>
      <c r="E269" s="15" t="s">
        <v>101</v>
      </c>
      <c r="F269" s="23" t="s">
        <v>97</v>
      </c>
      <c r="G269" s="15" t="n">
        <f aca="false">IFERROR(INDEX(Decisions!$K$2:$K$122,MATCH(E269,Decisions!$A$2:$A$122,0)),"")</f>
        <v>0</v>
      </c>
    </row>
    <row r="270" customFormat="false" ht="15" hidden="false" customHeight="false" outlineLevel="0" collapsed="false">
      <c r="A270" s="15" t="s">
        <v>801</v>
      </c>
      <c r="B270" s="15" t="s">
        <v>68</v>
      </c>
      <c r="C270" s="15" t="s">
        <v>777</v>
      </c>
      <c r="D270" s="15" t="s">
        <v>800</v>
      </c>
      <c r="E270" s="15" t="s">
        <v>104</v>
      </c>
      <c r="F270" s="23" t="s">
        <v>97</v>
      </c>
      <c r="G270" s="15" t="n">
        <f aca="false">IFERROR(INDEX(Decisions!$K$2:$K$122,MATCH(E270,Decisions!$A$2:$A$122,0)),"")</f>
        <v>0</v>
      </c>
    </row>
    <row r="271" customFormat="false" ht="15" hidden="false" customHeight="false" outlineLevel="0" collapsed="false">
      <c r="A271" s="15" t="s">
        <v>802</v>
      </c>
      <c r="B271" s="15" t="s">
        <v>68</v>
      </c>
      <c r="C271" s="15" t="s">
        <v>777</v>
      </c>
      <c r="D271" s="15" t="s">
        <v>800</v>
      </c>
      <c r="E271" s="15" t="s">
        <v>201</v>
      </c>
      <c r="F271" s="24" t="s">
        <v>173</v>
      </c>
      <c r="G271" s="15" t="n">
        <f aca="false">IFERROR(INDEX(Decisions!$K$2:$K$122,MATCH(E271,Decisions!$A$2:$A$122,0)),"")</f>
        <v>0</v>
      </c>
    </row>
    <row r="272" customFormat="false" ht="15" hidden="false" customHeight="false" outlineLevel="0" collapsed="false">
      <c r="A272" s="15" t="s">
        <v>803</v>
      </c>
      <c r="B272" s="15" t="s">
        <v>68</v>
      </c>
      <c r="C272" s="15" t="s">
        <v>777</v>
      </c>
      <c r="D272" s="15" t="s">
        <v>800</v>
      </c>
      <c r="E272" s="15" t="s">
        <v>209</v>
      </c>
      <c r="F272" s="24" t="s">
        <v>173</v>
      </c>
      <c r="G272" s="15" t="n">
        <f aca="false">IFERROR(INDEX(Decisions!$K$2:$K$122,MATCH(E272,Decisions!$A$2:$A$122,0)),"")</f>
        <v>0</v>
      </c>
    </row>
    <row r="273" customFormat="false" ht="15" hidden="false" customHeight="false" outlineLevel="0" collapsed="false">
      <c r="A273" s="15" t="s">
        <v>804</v>
      </c>
      <c r="B273" s="15" t="s">
        <v>68</v>
      </c>
      <c r="C273" s="15" t="s">
        <v>777</v>
      </c>
      <c r="D273" s="15" t="s">
        <v>800</v>
      </c>
      <c r="E273" s="15" t="s">
        <v>206</v>
      </c>
      <c r="F273" s="24" t="s">
        <v>173</v>
      </c>
      <c r="G273" s="15" t="n">
        <f aca="false">IFERROR(INDEX(Decisions!$K$2:$K$122,MATCH(E273,Decisions!$A$2:$A$122,0)),"")</f>
        <v>0</v>
      </c>
    </row>
    <row r="274" customFormat="false" ht="15" hidden="false" customHeight="false" outlineLevel="0" collapsed="false">
      <c r="A274" s="15" t="s">
        <v>805</v>
      </c>
      <c r="B274" s="15" t="s">
        <v>68</v>
      </c>
      <c r="C274" s="15" t="s">
        <v>762</v>
      </c>
      <c r="D274" s="15" t="s">
        <v>806</v>
      </c>
      <c r="E274" s="15" t="s">
        <v>191</v>
      </c>
      <c r="F274" s="24" t="s">
        <v>173</v>
      </c>
      <c r="G274" s="15" t="n">
        <f aca="false">IFERROR(INDEX(Decisions!$K$2:$K$122,MATCH(E274,Decisions!$A$2:$A$122,0)),"")</f>
        <v>0</v>
      </c>
    </row>
    <row r="275" customFormat="false" ht="15" hidden="false" customHeight="false" outlineLevel="0" collapsed="false">
      <c r="A275" s="15" t="s">
        <v>807</v>
      </c>
      <c r="B275" s="15" t="s">
        <v>68</v>
      </c>
      <c r="C275" s="15" t="s">
        <v>762</v>
      </c>
      <c r="D275" s="15" t="s">
        <v>806</v>
      </c>
      <c r="E275" s="15" t="s">
        <v>99</v>
      </c>
      <c r="F275" s="23" t="s">
        <v>97</v>
      </c>
      <c r="G275" s="15" t="n">
        <f aca="false">IFERROR(INDEX(Decisions!$K$2:$K$122,MATCH(E275,Decisions!$A$2:$A$122,0)),"")</f>
        <v>0</v>
      </c>
    </row>
    <row r="276" customFormat="false" ht="15" hidden="false" customHeight="false" outlineLevel="0" collapsed="false">
      <c r="A276" s="15" t="s">
        <v>808</v>
      </c>
      <c r="B276" s="15" t="s">
        <v>68</v>
      </c>
      <c r="C276" s="15" t="s">
        <v>762</v>
      </c>
      <c r="D276" s="15" t="s">
        <v>806</v>
      </c>
      <c r="E276" s="15" t="s">
        <v>108</v>
      </c>
      <c r="F276" s="23" t="s">
        <v>97</v>
      </c>
      <c r="G276" s="15" t="n">
        <f aca="false">IFERROR(INDEX(Decisions!$K$2:$K$122,MATCH(E276,Decisions!$A$2:$A$122,0)),"")</f>
        <v>0</v>
      </c>
    </row>
    <row r="277" customFormat="false" ht="15" hidden="false" customHeight="false" outlineLevel="0" collapsed="false">
      <c r="A277" s="15" t="s">
        <v>809</v>
      </c>
      <c r="B277" s="15" t="s">
        <v>68</v>
      </c>
      <c r="C277" s="15" t="s">
        <v>762</v>
      </c>
      <c r="D277" s="15" t="s">
        <v>806</v>
      </c>
      <c r="E277" s="15" t="s">
        <v>106</v>
      </c>
      <c r="F277" s="23" t="s">
        <v>97</v>
      </c>
      <c r="G277" s="15" t="n">
        <f aca="false">IFERROR(INDEX(Decisions!$K$2:$K$122,MATCH(E277,Decisions!$A$2:$A$122,0)),"")</f>
        <v>0</v>
      </c>
    </row>
    <row r="278" customFormat="false" ht="15" hidden="false" customHeight="false" outlineLevel="0" collapsed="false">
      <c r="A278" s="15" t="s">
        <v>810</v>
      </c>
      <c r="B278" s="15" t="s">
        <v>68</v>
      </c>
      <c r="C278" s="15" t="s">
        <v>762</v>
      </c>
      <c r="D278" s="15" t="s">
        <v>806</v>
      </c>
      <c r="E278" s="15" t="s">
        <v>194</v>
      </c>
      <c r="F278" s="24" t="s">
        <v>173</v>
      </c>
      <c r="G278" s="15" t="n">
        <f aca="false">IFERROR(INDEX(Decisions!$K$2:$K$122,MATCH(E278,Decisions!$A$2:$A$122,0)),"")</f>
        <v>0</v>
      </c>
    </row>
    <row r="279" customFormat="false" ht="15" hidden="false" customHeight="false" outlineLevel="0" collapsed="false">
      <c r="A279" s="15" t="s">
        <v>811</v>
      </c>
      <c r="B279" s="15" t="s">
        <v>68</v>
      </c>
      <c r="C279" s="15" t="s">
        <v>762</v>
      </c>
      <c r="D279" s="15" t="s">
        <v>806</v>
      </c>
      <c r="E279" s="15" t="s">
        <v>58</v>
      </c>
      <c r="F279" s="25" t="s">
        <v>26</v>
      </c>
      <c r="G279" s="15" t="str">
        <f aca="false">IFERROR(INDEX(Decisions!$K$2:$K$122,MATCH(E279,Decisions!$A$2:$A$122,0)),"")</f>
        <v>drop</v>
      </c>
    </row>
    <row r="280" customFormat="false" ht="15" hidden="false" customHeight="false" outlineLevel="0" collapsed="false">
      <c r="A280" s="15" t="s">
        <v>812</v>
      </c>
      <c r="B280" s="15" t="s">
        <v>68</v>
      </c>
      <c r="C280" s="15" t="s">
        <v>762</v>
      </c>
      <c r="D280" s="15" t="s">
        <v>806</v>
      </c>
      <c r="E280" s="15" t="s">
        <v>22</v>
      </c>
      <c r="F280" s="25" t="s">
        <v>26</v>
      </c>
      <c r="G280" s="15" t="str">
        <f aca="false">IFERROR(INDEX(Decisions!$K$2:$K$122,MATCH(E280,Decisions!$A$2:$A$122,0)),"")</f>
        <v>drop</v>
      </c>
    </row>
    <row r="281" customFormat="false" ht="15" hidden="false" customHeight="false" outlineLevel="0" collapsed="false">
      <c r="A281" s="15" t="s">
        <v>813</v>
      </c>
      <c r="B281" s="15" t="s">
        <v>68</v>
      </c>
      <c r="C281" s="15" t="s">
        <v>814</v>
      </c>
      <c r="D281" s="15" t="s">
        <v>815</v>
      </c>
      <c r="E281" s="15" t="s">
        <v>240</v>
      </c>
      <c r="F281" s="24" t="s">
        <v>173</v>
      </c>
      <c r="G281" s="15" t="n">
        <f aca="false">IFERROR(INDEX(Decisions!$K$2:$K$122,MATCH(E281,Decisions!$A$2:$A$122,0)),"")</f>
        <v>0</v>
      </c>
    </row>
    <row r="282" customFormat="false" ht="15" hidden="false" customHeight="false" outlineLevel="0" collapsed="false">
      <c r="A282" s="15" t="s">
        <v>816</v>
      </c>
      <c r="B282" s="15" t="s">
        <v>68</v>
      </c>
      <c r="C282" s="15" t="s">
        <v>814</v>
      </c>
      <c r="D282" s="15" t="s">
        <v>815</v>
      </c>
      <c r="E282" s="15" t="s">
        <v>245</v>
      </c>
      <c r="F282" s="24" t="s">
        <v>173</v>
      </c>
      <c r="G282" s="15" t="n">
        <f aca="false">IFERROR(INDEX(Decisions!$K$2:$K$122,MATCH(E282,Decisions!$A$2:$A$122,0)),"")</f>
        <v>0</v>
      </c>
    </row>
    <row r="283" customFormat="false" ht="15" hidden="false" customHeight="false" outlineLevel="0" collapsed="false">
      <c r="A283" s="15" t="s">
        <v>817</v>
      </c>
      <c r="B283" s="15" t="s">
        <v>68</v>
      </c>
      <c r="C283" s="15" t="s">
        <v>814</v>
      </c>
      <c r="D283" s="15" t="s">
        <v>818</v>
      </c>
      <c r="E283" s="15" t="s">
        <v>240</v>
      </c>
      <c r="F283" s="24" t="s">
        <v>173</v>
      </c>
      <c r="G283" s="15" t="n">
        <f aca="false">IFERROR(INDEX(Decisions!$K$2:$K$122,MATCH(E283,Decisions!$A$2:$A$122,0)),"")</f>
        <v>0</v>
      </c>
    </row>
    <row r="284" customFormat="false" ht="15" hidden="false" customHeight="false" outlineLevel="0" collapsed="false">
      <c r="A284" s="15" t="s">
        <v>819</v>
      </c>
      <c r="B284" s="15" t="s">
        <v>68</v>
      </c>
      <c r="C284" s="15" t="s">
        <v>814</v>
      </c>
      <c r="D284" s="15" t="s">
        <v>818</v>
      </c>
      <c r="E284" s="15" t="s">
        <v>245</v>
      </c>
      <c r="F284" s="24" t="s">
        <v>173</v>
      </c>
      <c r="G284" s="15" t="n">
        <f aca="false">IFERROR(INDEX(Decisions!$K$2:$K$122,MATCH(E284,Decisions!$A$2:$A$122,0)),"")</f>
        <v>0</v>
      </c>
    </row>
    <row r="285" customFormat="false" ht="15" hidden="false" customHeight="false" outlineLevel="0" collapsed="false">
      <c r="A285" s="15" t="s">
        <v>820</v>
      </c>
      <c r="B285" s="15" t="s">
        <v>68</v>
      </c>
      <c r="C285" s="15" t="s">
        <v>788</v>
      </c>
      <c r="D285" s="15" t="s">
        <v>821</v>
      </c>
      <c r="E285" s="15" t="s">
        <v>94</v>
      </c>
      <c r="F285" s="23" t="s">
        <v>97</v>
      </c>
      <c r="G285" s="15" t="n">
        <f aca="false">IFERROR(INDEX(Decisions!$K$2:$K$122,MATCH(E285,Decisions!$A$2:$A$122,0)),"")</f>
        <v>0</v>
      </c>
    </row>
    <row r="286" customFormat="false" ht="15" hidden="false" customHeight="false" outlineLevel="0" collapsed="false">
      <c r="A286" s="15" t="s">
        <v>822</v>
      </c>
      <c r="B286" s="15" t="s">
        <v>68</v>
      </c>
      <c r="C286" s="15" t="s">
        <v>788</v>
      </c>
      <c r="D286" s="15" t="s">
        <v>823</v>
      </c>
      <c r="E286" s="15" t="s">
        <v>94</v>
      </c>
      <c r="F286" s="23" t="s">
        <v>97</v>
      </c>
      <c r="G286" s="15" t="n">
        <f aca="false">IFERROR(INDEX(Decisions!$K$2:$K$122,MATCH(E286,Decisions!$A$2:$A$122,0)),"")</f>
        <v>0</v>
      </c>
    </row>
    <row r="287" customFormat="false" ht="15" hidden="false" customHeight="false" outlineLevel="0" collapsed="false">
      <c r="A287" s="15" t="s">
        <v>824</v>
      </c>
      <c r="B287" s="15" t="s">
        <v>68</v>
      </c>
      <c r="C287" s="15" t="s">
        <v>777</v>
      </c>
      <c r="D287" s="15" t="s">
        <v>825</v>
      </c>
      <c r="E287" s="15" t="s">
        <v>94</v>
      </c>
      <c r="F287" s="23" t="s">
        <v>97</v>
      </c>
      <c r="G287" s="15" t="n">
        <f aca="false">IFERROR(INDEX(Decisions!$K$2:$K$122,MATCH(E287,Decisions!$A$2:$A$122,0)),"")</f>
        <v>0</v>
      </c>
    </row>
    <row r="288" customFormat="false" ht="15" hidden="false" customHeight="false" outlineLevel="0" collapsed="false">
      <c r="A288" s="15" t="s">
        <v>826</v>
      </c>
      <c r="B288" s="15" t="s">
        <v>68</v>
      </c>
      <c r="C288" s="15" t="s">
        <v>827</v>
      </c>
      <c r="D288" s="15" t="s">
        <v>828</v>
      </c>
      <c r="E288" s="15" t="s">
        <v>287</v>
      </c>
      <c r="F288" s="24" t="s">
        <v>173</v>
      </c>
      <c r="G288" s="15" t="n">
        <f aca="false">IFERROR(INDEX(Decisions!$K$2:$K$122,MATCH(E288,Decisions!$A$2:$A$122,0)),"")</f>
        <v>0</v>
      </c>
    </row>
    <row r="289" customFormat="false" ht="15" hidden="false" customHeight="false" outlineLevel="0" collapsed="false">
      <c r="A289" s="15" t="s">
        <v>829</v>
      </c>
      <c r="B289" s="15" t="s">
        <v>68</v>
      </c>
      <c r="C289" s="15" t="s">
        <v>827</v>
      </c>
      <c r="D289" s="15" t="s">
        <v>830</v>
      </c>
      <c r="E289" s="15" t="s">
        <v>287</v>
      </c>
      <c r="F289" s="24" t="s">
        <v>173</v>
      </c>
      <c r="G289" s="15" t="n">
        <f aca="false">IFERROR(INDEX(Decisions!$K$2:$K$122,MATCH(E289,Decisions!$A$2:$A$122,0)),"")</f>
        <v>0</v>
      </c>
    </row>
    <row r="290" customFormat="false" ht="15" hidden="false" customHeight="false" outlineLevel="0" collapsed="false">
      <c r="A290" s="15" t="s">
        <v>831</v>
      </c>
      <c r="B290" s="15" t="s">
        <v>68</v>
      </c>
      <c r="C290" s="15" t="s">
        <v>777</v>
      </c>
      <c r="D290" s="15" t="s">
        <v>832</v>
      </c>
      <c r="E290" s="15" t="s">
        <v>110</v>
      </c>
      <c r="F290" s="23" t="s">
        <v>97</v>
      </c>
      <c r="G290" s="15" t="n">
        <f aca="false">IFERROR(INDEX(Decisions!$K$2:$K$122,MATCH(E290,Decisions!$A$2:$A$122,0)),"")</f>
        <v>0</v>
      </c>
    </row>
    <row r="291" customFormat="false" ht="15" hidden="false" customHeight="false" outlineLevel="0" collapsed="false">
      <c r="A291" s="15" t="s">
        <v>833</v>
      </c>
      <c r="B291" s="15" t="s">
        <v>68</v>
      </c>
      <c r="C291" s="15" t="s">
        <v>834</v>
      </c>
      <c r="D291" s="15" t="s">
        <v>832</v>
      </c>
      <c r="E291" s="15" t="s">
        <v>110</v>
      </c>
      <c r="F291" s="23" t="s">
        <v>97</v>
      </c>
      <c r="G291" s="15" t="n">
        <f aca="false">IFERROR(INDEX(Decisions!$K$2:$K$122,MATCH(E291,Decisions!$A$2:$A$122,0)),"")</f>
        <v>0</v>
      </c>
    </row>
    <row r="292" customFormat="false" ht="15" hidden="false" customHeight="false" outlineLevel="0" collapsed="false">
      <c r="A292" s="15" t="s">
        <v>835</v>
      </c>
      <c r="B292" s="15" t="s">
        <v>68</v>
      </c>
      <c r="C292" s="15" t="s">
        <v>777</v>
      </c>
      <c r="D292" s="15" t="s">
        <v>832</v>
      </c>
      <c r="E292" s="15" t="s">
        <v>198</v>
      </c>
      <c r="F292" s="24" t="s">
        <v>173</v>
      </c>
      <c r="G292" s="15" t="n">
        <f aca="false">IFERROR(INDEX(Decisions!$K$2:$K$122,MATCH(E292,Decisions!$A$2:$A$122,0)),"")</f>
        <v>0</v>
      </c>
    </row>
    <row r="293" customFormat="false" ht="15" hidden="false" customHeight="false" outlineLevel="0" collapsed="false">
      <c r="A293" s="15" t="s">
        <v>836</v>
      </c>
      <c r="B293" s="15" t="s">
        <v>68</v>
      </c>
      <c r="C293" s="15" t="s">
        <v>834</v>
      </c>
      <c r="D293" s="15" t="s">
        <v>832</v>
      </c>
      <c r="E293" s="15" t="s">
        <v>198</v>
      </c>
      <c r="F293" s="24" t="s">
        <v>173</v>
      </c>
      <c r="G293" s="15" t="n">
        <f aca="false">IFERROR(INDEX(Decisions!$K$2:$K$122,MATCH(E293,Decisions!$A$2:$A$122,0)),"")</f>
        <v>0</v>
      </c>
    </row>
    <row r="294" customFormat="false" ht="15" hidden="false" customHeight="false" outlineLevel="0" collapsed="false">
      <c r="A294" s="15" t="s">
        <v>837</v>
      </c>
      <c r="B294" s="15" t="s">
        <v>68</v>
      </c>
      <c r="C294" s="15" t="s">
        <v>838</v>
      </c>
      <c r="D294" s="15" t="s">
        <v>839</v>
      </c>
      <c r="E294" s="15" t="s">
        <v>228</v>
      </c>
      <c r="F294" s="24" t="s">
        <v>173</v>
      </c>
      <c r="G294" s="15" t="n">
        <f aca="false">IFERROR(INDEX(Decisions!$K$2:$K$122,MATCH(E294,Decisions!$A$2:$A$122,0)),"")</f>
        <v>0</v>
      </c>
    </row>
    <row r="295" customFormat="false" ht="15" hidden="false" customHeight="false" outlineLevel="0" collapsed="false">
      <c r="A295" s="15" t="s">
        <v>840</v>
      </c>
      <c r="B295" s="15" t="s">
        <v>68</v>
      </c>
      <c r="C295" s="15" t="s">
        <v>838</v>
      </c>
      <c r="D295" s="15" t="s">
        <v>839</v>
      </c>
      <c r="E295" s="15" t="s">
        <v>212</v>
      </c>
      <c r="F295" s="24" t="s">
        <v>173</v>
      </c>
      <c r="G295" s="15" t="n">
        <f aca="false">IFERROR(INDEX(Decisions!$K$2:$K$122,MATCH(E295,Decisions!$A$2:$A$122,0)),"")</f>
        <v>0</v>
      </c>
    </row>
    <row r="296" customFormat="false" ht="15" hidden="false" customHeight="false" outlineLevel="0" collapsed="false">
      <c r="A296" s="15" t="s">
        <v>841</v>
      </c>
      <c r="B296" s="15" t="s">
        <v>68</v>
      </c>
      <c r="C296" s="15" t="s">
        <v>838</v>
      </c>
      <c r="D296" s="15" t="s">
        <v>839</v>
      </c>
      <c r="E296" s="15" t="s">
        <v>187</v>
      </c>
      <c r="F296" s="24" t="s">
        <v>173</v>
      </c>
      <c r="G296" s="15" t="n">
        <f aca="false">IFERROR(INDEX(Decisions!$K$2:$K$122,MATCH(E296,Decisions!$A$2:$A$122,0)),"")</f>
        <v>0</v>
      </c>
    </row>
    <row r="297" customFormat="false" ht="15" hidden="false" customHeight="false" outlineLevel="0" collapsed="false">
      <c r="A297" s="15" t="s">
        <v>842</v>
      </c>
      <c r="B297" s="15" t="s">
        <v>68</v>
      </c>
      <c r="C297" s="15" t="s">
        <v>838</v>
      </c>
      <c r="D297" s="15" t="s">
        <v>839</v>
      </c>
      <c r="E297" s="15" t="s">
        <v>170</v>
      </c>
      <c r="F297" s="24" t="s">
        <v>173</v>
      </c>
      <c r="G297" s="15" t="n">
        <f aca="false">IFERROR(INDEX(Decisions!$K$2:$K$122,MATCH(E297,Decisions!$A$2:$A$122,0)),"")</f>
        <v>0</v>
      </c>
    </row>
    <row r="298" customFormat="false" ht="15" hidden="false" customHeight="false" outlineLevel="0" collapsed="false">
      <c r="A298" s="15" t="s">
        <v>843</v>
      </c>
      <c r="B298" s="15" t="s">
        <v>68</v>
      </c>
      <c r="C298" s="15" t="s">
        <v>844</v>
      </c>
      <c r="D298" s="15" t="s">
        <v>845</v>
      </c>
      <c r="E298" s="15" t="s">
        <v>187</v>
      </c>
      <c r="F298" s="24" t="s">
        <v>173</v>
      </c>
      <c r="G298" s="15" t="n">
        <f aca="false">IFERROR(INDEX(Decisions!$K$2:$K$122,MATCH(E298,Decisions!$A$2:$A$122,0)),"")</f>
        <v>0</v>
      </c>
    </row>
    <row r="299" customFormat="false" ht="15" hidden="false" customHeight="false" outlineLevel="0" collapsed="false">
      <c r="A299" s="15" t="s">
        <v>846</v>
      </c>
      <c r="B299" s="15" t="s">
        <v>68</v>
      </c>
      <c r="C299" s="15" t="s">
        <v>844</v>
      </c>
      <c r="D299" s="15" t="s">
        <v>845</v>
      </c>
      <c r="E299" s="15" t="s">
        <v>170</v>
      </c>
      <c r="F299" s="24" t="s">
        <v>173</v>
      </c>
      <c r="G299" s="15" t="n">
        <f aca="false">IFERROR(INDEX(Decisions!$K$2:$K$122,MATCH(E299,Decisions!$A$2:$A$122,0)),"")</f>
        <v>0</v>
      </c>
    </row>
    <row r="300" customFormat="false" ht="15" hidden="false" customHeight="false" outlineLevel="0" collapsed="false">
      <c r="A300" s="15" t="s">
        <v>847</v>
      </c>
      <c r="B300" s="15" t="s">
        <v>68</v>
      </c>
      <c r="C300" s="15" t="s">
        <v>844</v>
      </c>
      <c r="D300" s="15" t="s">
        <v>848</v>
      </c>
      <c r="E300" s="15" t="s">
        <v>170</v>
      </c>
      <c r="F300" s="24" t="s">
        <v>173</v>
      </c>
      <c r="G300" s="15" t="n">
        <f aca="false">IFERROR(INDEX(Decisions!$K$2:$K$122,MATCH(E300,Decisions!$A$2:$A$122,0)),"")</f>
        <v>0</v>
      </c>
    </row>
    <row r="301" customFormat="false" ht="15" hidden="false" customHeight="false" outlineLevel="0" collapsed="false">
      <c r="A301" s="15" t="s">
        <v>849</v>
      </c>
      <c r="B301" s="15" t="s">
        <v>68</v>
      </c>
      <c r="C301" s="15" t="s">
        <v>844</v>
      </c>
      <c r="D301" s="15" t="s">
        <v>850</v>
      </c>
      <c r="E301" s="15" t="s">
        <v>235</v>
      </c>
      <c r="F301" s="24" t="s">
        <v>173</v>
      </c>
      <c r="G301" s="15" t="n">
        <f aca="false">IFERROR(INDEX(Decisions!$K$2:$K$122,MATCH(E301,Decisions!$A$2:$A$122,0)),"")</f>
        <v>0</v>
      </c>
    </row>
    <row r="302" customFormat="false" ht="15" hidden="false" customHeight="false" outlineLevel="0" collapsed="false">
      <c r="A302" s="15" t="s">
        <v>851</v>
      </c>
      <c r="B302" s="15" t="s">
        <v>68</v>
      </c>
      <c r="C302" s="15" t="s">
        <v>844</v>
      </c>
      <c r="D302" s="15" t="s">
        <v>850</v>
      </c>
      <c r="E302" s="15" t="s">
        <v>212</v>
      </c>
      <c r="F302" s="24" t="s">
        <v>173</v>
      </c>
      <c r="G302" s="15" t="n">
        <f aca="false">IFERROR(INDEX(Decisions!$K$2:$K$122,MATCH(E302,Decisions!$A$2:$A$122,0)),"")</f>
        <v>0</v>
      </c>
    </row>
    <row r="303" customFormat="false" ht="15" hidden="false" customHeight="false" outlineLevel="0" collapsed="false">
      <c r="A303" s="15" t="s">
        <v>852</v>
      </c>
      <c r="B303" s="15" t="s">
        <v>68</v>
      </c>
      <c r="C303" s="15" t="s">
        <v>844</v>
      </c>
      <c r="D303" s="15" t="s">
        <v>850</v>
      </c>
      <c r="E303" s="15" t="s">
        <v>187</v>
      </c>
      <c r="F303" s="24" t="s">
        <v>173</v>
      </c>
      <c r="G303" s="15" t="n">
        <f aca="false">IFERROR(INDEX(Decisions!$K$2:$K$122,MATCH(E303,Decisions!$A$2:$A$122,0)),"")</f>
        <v>0</v>
      </c>
    </row>
    <row r="304" customFormat="false" ht="15" hidden="false" customHeight="false" outlineLevel="0" collapsed="false">
      <c r="A304" s="15" t="s">
        <v>853</v>
      </c>
      <c r="B304" s="15" t="s">
        <v>68</v>
      </c>
      <c r="C304" s="15" t="s">
        <v>844</v>
      </c>
      <c r="D304" s="15" t="s">
        <v>850</v>
      </c>
      <c r="E304" s="15" t="s">
        <v>170</v>
      </c>
      <c r="F304" s="24" t="s">
        <v>173</v>
      </c>
      <c r="G304" s="15" t="n">
        <f aca="false">IFERROR(INDEX(Decisions!$K$2:$K$122,MATCH(E304,Decisions!$A$2:$A$122,0)),"")</f>
        <v>0</v>
      </c>
    </row>
    <row r="305" customFormat="false" ht="15" hidden="false" customHeight="false" outlineLevel="0" collapsed="false">
      <c r="A305" s="15" t="s">
        <v>854</v>
      </c>
      <c r="B305" s="15" t="s">
        <v>68</v>
      </c>
      <c r="C305" s="15" t="s">
        <v>844</v>
      </c>
      <c r="D305" s="15" t="s">
        <v>855</v>
      </c>
      <c r="E305" s="15" t="s">
        <v>177</v>
      </c>
      <c r="F305" s="24" t="s">
        <v>173</v>
      </c>
      <c r="G305" s="15" t="n">
        <f aca="false">IFERROR(INDEX(Decisions!$K$2:$K$122,MATCH(E305,Decisions!$A$2:$A$122,0)),"")</f>
        <v>0</v>
      </c>
    </row>
    <row r="306" customFormat="false" ht="15" hidden="false" customHeight="false" outlineLevel="0" collapsed="false">
      <c r="A306" s="15" t="s">
        <v>856</v>
      </c>
      <c r="B306" s="15" t="s">
        <v>68</v>
      </c>
      <c r="C306" s="15" t="s">
        <v>844</v>
      </c>
      <c r="D306" s="15" t="s">
        <v>857</v>
      </c>
      <c r="E306" s="15" t="s">
        <v>177</v>
      </c>
      <c r="F306" s="24" t="s">
        <v>173</v>
      </c>
      <c r="G306" s="15" t="n">
        <f aca="false">IFERROR(INDEX(Decisions!$K$2:$K$122,MATCH(E306,Decisions!$A$2:$A$122,0)),"")</f>
        <v>0</v>
      </c>
    </row>
    <row r="307" customFormat="false" ht="15" hidden="false" customHeight="false" outlineLevel="0" collapsed="false">
      <c r="A307" s="15" t="s">
        <v>858</v>
      </c>
      <c r="B307" s="15" t="s">
        <v>68</v>
      </c>
      <c r="C307" s="15" t="s">
        <v>844</v>
      </c>
      <c r="D307" s="15" t="s">
        <v>859</v>
      </c>
      <c r="E307" s="15" t="s">
        <v>177</v>
      </c>
      <c r="F307" s="24" t="s">
        <v>173</v>
      </c>
      <c r="G307" s="15" t="n">
        <f aca="false">IFERROR(INDEX(Decisions!$K$2:$K$122,MATCH(E307,Decisions!$A$2:$A$122,0)),"")</f>
        <v>0</v>
      </c>
    </row>
    <row r="308" customFormat="false" ht="15" hidden="false" customHeight="false" outlineLevel="0" collapsed="false">
      <c r="A308" s="15" t="s">
        <v>860</v>
      </c>
      <c r="B308" s="15" t="s">
        <v>68</v>
      </c>
      <c r="C308" s="15" t="s">
        <v>838</v>
      </c>
      <c r="D308" s="15" t="s">
        <v>861</v>
      </c>
      <c r="E308" s="15" t="s">
        <v>101</v>
      </c>
      <c r="F308" s="23" t="s">
        <v>97</v>
      </c>
      <c r="G308" s="15" t="n">
        <f aca="false">IFERROR(INDEX(Decisions!$K$2:$K$122,MATCH(E308,Decisions!$A$2:$A$122,0)),"")</f>
        <v>0</v>
      </c>
    </row>
    <row r="309" customFormat="false" ht="15" hidden="false" customHeight="false" outlineLevel="0" collapsed="false">
      <c r="A309" s="15" t="s">
        <v>862</v>
      </c>
      <c r="B309" s="15" t="s">
        <v>68</v>
      </c>
      <c r="C309" s="15" t="s">
        <v>838</v>
      </c>
      <c r="D309" s="15" t="s">
        <v>861</v>
      </c>
      <c r="E309" s="15" t="s">
        <v>104</v>
      </c>
      <c r="F309" s="23" t="s">
        <v>97</v>
      </c>
      <c r="G309" s="15" t="n">
        <f aca="false">IFERROR(INDEX(Decisions!$K$2:$K$122,MATCH(E309,Decisions!$A$2:$A$122,0)),"")</f>
        <v>0</v>
      </c>
    </row>
    <row r="310" customFormat="false" ht="15" hidden="false" customHeight="false" outlineLevel="0" collapsed="false">
      <c r="A310" s="15" t="s">
        <v>863</v>
      </c>
      <c r="B310" s="15" t="s">
        <v>68</v>
      </c>
      <c r="C310" s="15" t="s">
        <v>838</v>
      </c>
      <c r="D310" s="15" t="s">
        <v>861</v>
      </c>
      <c r="E310" s="15" t="s">
        <v>201</v>
      </c>
      <c r="F310" s="24" t="s">
        <v>173</v>
      </c>
      <c r="G310" s="15" t="n">
        <f aca="false">IFERROR(INDEX(Decisions!$K$2:$K$122,MATCH(E310,Decisions!$A$2:$A$122,0)),"")</f>
        <v>0</v>
      </c>
    </row>
    <row r="311" customFormat="false" ht="15" hidden="false" customHeight="false" outlineLevel="0" collapsed="false">
      <c r="A311" s="15" t="s">
        <v>864</v>
      </c>
      <c r="B311" s="15" t="s">
        <v>68</v>
      </c>
      <c r="C311" s="15" t="s">
        <v>838</v>
      </c>
      <c r="D311" s="15" t="s">
        <v>861</v>
      </c>
      <c r="E311" s="15" t="s">
        <v>206</v>
      </c>
      <c r="F311" s="24" t="s">
        <v>173</v>
      </c>
      <c r="G311" s="15" t="n">
        <f aca="false">IFERROR(INDEX(Decisions!$K$2:$K$122,MATCH(E311,Decisions!$A$2:$A$122,0)),"")</f>
        <v>0</v>
      </c>
    </row>
    <row r="312" customFormat="false" ht="15" hidden="false" customHeight="false" outlineLevel="0" collapsed="false">
      <c r="A312" s="15" t="s">
        <v>865</v>
      </c>
      <c r="B312" s="15" t="s">
        <v>68</v>
      </c>
      <c r="C312" s="15" t="s">
        <v>866</v>
      </c>
      <c r="D312" s="15" t="s">
        <v>867</v>
      </c>
      <c r="E312" s="15" t="s">
        <v>113</v>
      </c>
      <c r="F312" s="23" t="s">
        <v>97</v>
      </c>
      <c r="G312" s="15" t="n">
        <f aca="false">IFERROR(INDEX(Decisions!$K$2:$K$122,MATCH(E312,Decisions!$A$2:$A$122,0)),"")</f>
        <v>0</v>
      </c>
    </row>
    <row r="313" customFormat="false" ht="15" hidden="false" customHeight="false" outlineLevel="0" collapsed="false">
      <c r="A313" s="15" t="s">
        <v>868</v>
      </c>
      <c r="B313" s="15" t="s">
        <v>68</v>
      </c>
      <c r="C313" s="15" t="s">
        <v>866</v>
      </c>
      <c r="D313" s="15" t="s">
        <v>867</v>
      </c>
      <c r="E313" s="15" t="s">
        <v>116</v>
      </c>
      <c r="F313" s="23" t="s">
        <v>97</v>
      </c>
      <c r="G313" s="15" t="n">
        <f aca="false">IFERROR(INDEX(Decisions!$K$2:$K$122,MATCH(E313,Decisions!$A$2:$A$122,0)),"")</f>
        <v>0</v>
      </c>
    </row>
    <row r="314" customFormat="false" ht="15" hidden="false" customHeight="false" outlineLevel="0" collapsed="false">
      <c r="A314" s="15" t="s">
        <v>869</v>
      </c>
      <c r="B314" s="15" t="s">
        <v>68</v>
      </c>
      <c r="C314" s="15" t="s">
        <v>866</v>
      </c>
      <c r="D314" s="15" t="s">
        <v>867</v>
      </c>
      <c r="E314" s="15" t="s">
        <v>225</v>
      </c>
      <c r="F314" s="24" t="s">
        <v>173</v>
      </c>
      <c r="G314" s="15" t="n">
        <f aca="false">IFERROR(INDEX(Decisions!$K$2:$K$122,MATCH(E314,Decisions!$A$2:$A$122,0)),"")</f>
        <v>0</v>
      </c>
    </row>
    <row r="315" customFormat="false" ht="15" hidden="false" customHeight="false" outlineLevel="0" collapsed="false">
      <c r="A315" s="15" t="s">
        <v>870</v>
      </c>
      <c r="B315" s="15" t="s">
        <v>68</v>
      </c>
      <c r="C315" s="15" t="s">
        <v>866</v>
      </c>
      <c r="D315" s="15" t="s">
        <v>867</v>
      </c>
      <c r="E315" s="15" t="s">
        <v>231</v>
      </c>
      <c r="F315" s="24" t="s">
        <v>173</v>
      </c>
      <c r="G315" s="15" t="n">
        <f aca="false">IFERROR(INDEX(Decisions!$K$2:$K$122,MATCH(E315,Decisions!$A$2:$A$122,0)),"")</f>
        <v>0</v>
      </c>
    </row>
    <row r="316" customFormat="false" ht="15" hidden="false" customHeight="false" outlineLevel="0" collapsed="false">
      <c r="A316" s="15" t="s">
        <v>871</v>
      </c>
      <c r="B316" s="15" t="s">
        <v>68</v>
      </c>
      <c r="C316" s="15" t="s">
        <v>866</v>
      </c>
      <c r="D316" s="15" t="s">
        <v>867</v>
      </c>
      <c r="E316" s="15" t="s">
        <v>218</v>
      </c>
      <c r="F316" s="24" t="s">
        <v>173</v>
      </c>
      <c r="G316" s="15" t="n">
        <f aca="false">IFERROR(INDEX(Decisions!$K$2:$K$122,MATCH(E316,Decisions!$A$2:$A$122,0)),"")</f>
        <v>0</v>
      </c>
    </row>
    <row r="317" customFormat="false" ht="15" hidden="false" customHeight="false" outlineLevel="0" collapsed="false">
      <c r="A317" s="15" t="s">
        <v>872</v>
      </c>
      <c r="B317" s="15" t="s">
        <v>68</v>
      </c>
      <c r="C317" s="15" t="s">
        <v>866</v>
      </c>
      <c r="D317" s="15" t="s">
        <v>867</v>
      </c>
      <c r="E317" s="15" t="s">
        <v>118</v>
      </c>
      <c r="F317" s="23" t="s">
        <v>97</v>
      </c>
      <c r="G317" s="15" t="n">
        <f aca="false">IFERROR(INDEX(Decisions!$K$2:$K$122,MATCH(E317,Decisions!$A$2:$A$122,0)),"")</f>
        <v>0</v>
      </c>
    </row>
    <row r="318" customFormat="false" ht="15" hidden="false" customHeight="false" outlineLevel="0" collapsed="false">
      <c r="A318" s="15" t="s">
        <v>873</v>
      </c>
      <c r="B318" s="15" t="s">
        <v>68</v>
      </c>
      <c r="C318" s="15" t="s">
        <v>874</v>
      </c>
      <c r="D318" s="15" t="s">
        <v>875</v>
      </c>
      <c r="E318" s="15" t="s">
        <v>191</v>
      </c>
      <c r="F318" s="24" t="s">
        <v>173</v>
      </c>
      <c r="G318" s="15" t="n">
        <f aca="false">IFERROR(INDEX(Decisions!$K$2:$K$122,MATCH(E318,Decisions!$A$2:$A$122,0)),"")</f>
        <v>0</v>
      </c>
    </row>
    <row r="319" customFormat="false" ht="15" hidden="false" customHeight="false" outlineLevel="0" collapsed="false">
      <c r="A319" s="15" t="s">
        <v>876</v>
      </c>
      <c r="B319" s="15" t="s">
        <v>68</v>
      </c>
      <c r="C319" s="15" t="s">
        <v>874</v>
      </c>
      <c r="D319" s="15" t="s">
        <v>875</v>
      </c>
      <c r="E319" s="15" t="s">
        <v>99</v>
      </c>
      <c r="F319" s="23" t="s">
        <v>97</v>
      </c>
      <c r="G319" s="15" t="n">
        <f aca="false">IFERROR(INDEX(Decisions!$K$2:$K$122,MATCH(E319,Decisions!$A$2:$A$122,0)),"")</f>
        <v>0</v>
      </c>
    </row>
    <row r="320" customFormat="false" ht="15" hidden="false" customHeight="false" outlineLevel="0" collapsed="false">
      <c r="A320" s="15" t="s">
        <v>877</v>
      </c>
      <c r="B320" s="15" t="s">
        <v>68</v>
      </c>
      <c r="C320" s="15" t="s">
        <v>874</v>
      </c>
      <c r="D320" s="15" t="s">
        <v>875</v>
      </c>
      <c r="E320" s="15" t="s">
        <v>108</v>
      </c>
      <c r="F320" s="23" t="s">
        <v>97</v>
      </c>
      <c r="G320" s="15" t="n">
        <f aca="false">IFERROR(INDEX(Decisions!$K$2:$K$122,MATCH(E320,Decisions!$A$2:$A$122,0)),"")</f>
        <v>0</v>
      </c>
    </row>
    <row r="321" customFormat="false" ht="15" hidden="false" customHeight="false" outlineLevel="0" collapsed="false">
      <c r="A321" s="15" t="s">
        <v>878</v>
      </c>
      <c r="B321" s="15" t="s">
        <v>68</v>
      </c>
      <c r="C321" s="15" t="s">
        <v>874</v>
      </c>
      <c r="D321" s="15" t="s">
        <v>875</v>
      </c>
      <c r="E321" s="15" t="s">
        <v>106</v>
      </c>
      <c r="F321" s="23" t="s">
        <v>97</v>
      </c>
      <c r="G321" s="15" t="n">
        <f aca="false">IFERROR(INDEX(Decisions!$K$2:$K$122,MATCH(E321,Decisions!$A$2:$A$122,0)),"")</f>
        <v>0</v>
      </c>
    </row>
    <row r="322" customFormat="false" ht="15" hidden="false" customHeight="false" outlineLevel="0" collapsed="false">
      <c r="A322" s="15" t="s">
        <v>879</v>
      </c>
      <c r="B322" s="15" t="s">
        <v>68</v>
      </c>
      <c r="C322" s="15" t="s">
        <v>874</v>
      </c>
      <c r="D322" s="15" t="s">
        <v>875</v>
      </c>
      <c r="E322" s="15" t="s">
        <v>194</v>
      </c>
      <c r="F322" s="24" t="s">
        <v>173</v>
      </c>
      <c r="G322" s="15" t="n">
        <f aca="false">IFERROR(INDEX(Decisions!$K$2:$K$122,MATCH(E322,Decisions!$A$2:$A$122,0)),"")</f>
        <v>0</v>
      </c>
    </row>
    <row r="323" customFormat="false" ht="15" hidden="false" customHeight="false" outlineLevel="0" collapsed="false">
      <c r="A323" s="15" t="s">
        <v>880</v>
      </c>
      <c r="B323" s="15" t="s">
        <v>68</v>
      </c>
      <c r="C323" s="15" t="s">
        <v>874</v>
      </c>
      <c r="D323" s="15" t="s">
        <v>875</v>
      </c>
      <c r="E323" s="15" t="s">
        <v>58</v>
      </c>
      <c r="F323" s="25" t="s">
        <v>26</v>
      </c>
      <c r="G323" s="15" t="str">
        <f aca="false">IFERROR(INDEX(Decisions!$K$2:$K$122,MATCH(E323,Decisions!$A$2:$A$122,0)),"")</f>
        <v>drop</v>
      </c>
    </row>
    <row r="324" customFormat="false" ht="15" hidden="false" customHeight="false" outlineLevel="0" collapsed="false">
      <c r="A324" s="15" t="s">
        <v>881</v>
      </c>
      <c r="B324" s="15" t="s">
        <v>68</v>
      </c>
      <c r="C324" s="15" t="s">
        <v>874</v>
      </c>
      <c r="D324" s="15" t="s">
        <v>875</v>
      </c>
      <c r="E324" s="15" t="s">
        <v>22</v>
      </c>
      <c r="F324" s="25" t="s">
        <v>26</v>
      </c>
      <c r="G324" s="15" t="str">
        <f aca="false">IFERROR(INDEX(Decisions!$K$2:$K$122,MATCH(E324,Decisions!$A$2:$A$122,0)),"")</f>
        <v>drop</v>
      </c>
    </row>
    <row r="325" customFormat="false" ht="15" hidden="false" customHeight="false" outlineLevel="0" collapsed="false">
      <c r="A325" s="15" t="s">
        <v>882</v>
      </c>
      <c r="B325" s="15" t="s">
        <v>68</v>
      </c>
      <c r="C325" s="15" t="s">
        <v>838</v>
      </c>
      <c r="D325" s="15" t="s">
        <v>883</v>
      </c>
      <c r="E325" s="15" t="s">
        <v>94</v>
      </c>
      <c r="F325" s="23" t="s">
        <v>97</v>
      </c>
      <c r="G325" s="15" t="n">
        <f aca="false">IFERROR(INDEX(Decisions!$K$2:$K$122,MATCH(E325,Decisions!$A$2:$A$122,0)),"")</f>
        <v>0</v>
      </c>
    </row>
    <row r="326" customFormat="false" ht="15" hidden="false" customHeight="false" outlineLevel="0" collapsed="false">
      <c r="A326" s="15" t="s">
        <v>884</v>
      </c>
      <c r="B326" s="15" t="s">
        <v>68</v>
      </c>
      <c r="C326" s="15" t="s">
        <v>838</v>
      </c>
      <c r="D326" s="15" t="s">
        <v>883</v>
      </c>
      <c r="E326" s="15" t="s">
        <v>215</v>
      </c>
      <c r="F326" s="24" t="s">
        <v>173</v>
      </c>
      <c r="G326" s="15" t="n">
        <f aca="false">IFERROR(INDEX(Decisions!$K$2:$K$122,MATCH(E326,Decisions!$A$2:$A$122,0)),"")</f>
        <v>0</v>
      </c>
    </row>
    <row r="327" customFormat="false" ht="15" hidden="false" customHeight="false" outlineLevel="0" collapsed="false">
      <c r="A327" s="15" t="s">
        <v>885</v>
      </c>
      <c r="B327" s="15" t="s">
        <v>68</v>
      </c>
      <c r="C327" s="15" t="s">
        <v>838</v>
      </c>
      <c r="D327" s="15" t="s">
        <v>883</v>
      </c>
      <c r="E327" s="15" t="s">
        <v>233</v>
      </c>
      <c r="F327" s="24" t="s">
        <v>173</v>
      </c>
      <c r="G327" s="15" t="n">
        <f aca="false">IFERROR(INDEX(Decisions!$K$2:$K$122,MATCH(E327,Decisions!$A$2:$A$122,0)),"")</f>
        <v>0</v>
      </c>
    </row>
    <row r="328" customFormat="false" ht="15" hidden="false" customHeight="false" outlineLevel="0" collapsed="false">
      <c r="A328" s="15" t="s">
        <v>886</v>
      </c>
      <c r="B328" s="15" t="s">
        <v>68</v>
      </c>
      <c r="C328" s="15" t="s">
        <v>838</v>
      </c>
      <c r="D328" s="15" t="s">
        <v>883</v>
      </c>
      <c r="E328" s="15" t="s">
        <v>183</v>
      </c>
      <c r="F328" s="24" t="s">
        <v>173</v>
      </c>
      <c r="G328" s="15" t="n">
        <f aca="false">IFERROR(INDEX(Decisions!$K$2:$K$122,MATCH(E328,Decisions!$A$2:$A$122,0)),"")</f>
        <v>0</v>
      </c>
    </row>
    <row r="329" customFormat="false" ht="15" hidden="false" customHeight="false" outlineLevel="0" collapsed="false">
      <c r="A329" s="15" t="s">
        <v>887</v>
      </c>
      <c r="B329" s="15" t="s">
        <v>68</v>
      </c>
      <c r="C329" s="15" t="s">
        <v>888</v>
      </c>
      <c r="D329" s="15" t="s">
        <v>598</v>
      </c>
      <c r="E329" s="15" t="s">
        <v>110</v>
      </c>
      <c r="F329" s="23" t="s">
        <v>97</v>
      </c>
      <c r="G329" s="15" t="n">
        <f aca="false">IFERROR(INDEX(Decisions!$K$2:$K$122,MATCH(E329,Decisions!$A$2:$A$122,0)),"")</f>
        <v>0</v>
      </c>
    </row>
    <row r="330" customFormat="false" ht="15" hidden="false" customHeight="false" outlineLevel="0" collapsed="false">
      <c r="A330" s="15" t="s">
        <v>889</v>
      </c>
      <c r="B330" s="15" t="s">
        <v>68</v>
      </c>
      <c r="C330" s="15" t="s">
        <v>888</v>
      </c>
      <c r="D330" s="15" t="s">
        <v>598</v>
      </c>
      <c r="E330" s="15" t="s">
        <v>198</v>
      </c>
      <c r="F330" s="24" t="s">
        <v>173</v>
      </c>
      <c r="G330" s="15" t="n">
        <f aca="false">IFERROR(INDEX(Decisions!$K$2:$K$122,MATCH(E330,Decisions!$A$2:$A$122,0)),"")</f>
        <v>0</v>
      </c>
    </row>
    <row r="331" customFormat="false" ht="15" hidden="false" customHeight="false" outlineLevel="0" collapsed="false">
      <c r="A331" s="15" t="s">
        <v>890</v>
      </c>
      <c r="B331" s="15" t="s">
        <v>68</v>
      </c>
      <c r="C331" s="15" t="s">
        <v>891</v>
      </c>
      <c r="D331" s="15" t="s">
        <v>892</v>
      </c>
      <c r="E331" s="15" t="s">
        <v>132</v>
      </c>
      <c r="F331" s="23" t="s">
        <v>97</v>
      </c>
      <c r="G331" s="15" t="n">
        <f aca="false">IFERROR(INDEX(Decisions!$K$2:$K$122,MATCH(E331,Decisions!$A$2:$A$122,0)),"")</f>
        <v>0</v>
      </c>
    </row>
    <row r="332" customFormat="false" ht="15" hidden="false" customHeight="false" outlineLevel="0" collapsed="false">
      <c r="A332" s="15" t="s">
        <v>893</v>
      </c>
      <c r="B332" s="15" t="s">
        <v>68</v>
      </c>
      <c r="C332" s="15" t="s">
        <v>891</v>
      </c>
      <c r="D332" s="15" t="s">
        <v>894</v>
      </c>
      <c r="E332" s="15" t="s">
        <v>382</v>
      </c>
      <c r="F332" s="24" t="s">
        <v>173</v>
      </c>
      <c r="G332" s="15" t="n">
        <f aca="false">IFERROR(INDEX(Decisions!$K$2:$K$122,MATCH(E332,Decisions!$A$2:$A$122,0)),"")</f>
        <v>0</v>
      </c>
    </row>
    <row r="333" customFormat="false" ht="15" hidden="false" customHeight="false" outlineLevel="0" collapsed="false">
      <c r="A333" s="15" t="s">
        <v>895</v>
      </c>
      <c r="B333" s="15" t="s">
        <v>68</v>
      </c>
      <c r="C333" s="15" t="s">
        <v>891</v>
      </c>
      <c r="D333" s="15" t="s">
        <v>896</v>
      </c>
      <c r="E333" s="15" t="s">
        <v>373</v>
      </c>
      <c r="F333" s="24" t="s">
        <v>173</v>
      </c>
      <c r="G333" s="15" t="n">
        <f aca="false">IFERROR(INDEX(Decisions!$K$2:$K$122,MATCH(E333,Decisions!$A$2:$A$122,0)),"")</f>
        <v>0</v>
      </c>
    </row>
    <row r="334" customFormat="false" ht="15" hidden="false" customHeight="false" outlineLevel="0" collapsed="false">
      <c r="A334" s="15" t="s">
        <v>897</v>
      </c>
      <c r="B334" s="15" t="s">
        <v>68</v>
      </c>
      <c r="C334" s="15" t="s">
        <v>891</v>
      </c>
      <c r="D334" s="15" t="s">
        <v>896</v>
      </c>
      <c r="E334" s="15" t="s">
        <v>294</v>
      </c>
      <c r="F334" s="24" t="s">
        <v>173</v>
      </c>
      <c r="G334" s="15" t="n">
        <f aca="false">IFERROR(INDEX(Decisions!$K$2:$K$122,MATCH(E334,Decisions!$A$2:$A$122,0)),"")</f>
        <v>0</v>
      </c>
    </row>
    <row r="335" customFormat="false" ht="15" hidden="false" customHeight="false" outlineLevel="0" collapsed="false">
      <c r="A335" s="15" t="s">
        <v>898</v>
      </c>
      <c r="B335" s="15" t="s">
        <v>68</v>
      </c>
      <c r="C335" s="15" t="s">
        <v>899</v>
      </c>
      <c r="D335" s="15" t="s">
        <v>900</v>
      </c>
      <c r="E335" s="15" t="s">
        <v>358</v>
      </c>
      <c r="F335" s="24" t="s">
        <v>173</v>
      </c>
      <c r="G335" s="15" t="n">
        <f aca="false">IFERROR(INDEX(Decisions!$K$2:$K$122,MATCH(E335,Decisions!$A$2:$A$122,0)),"")</f>
        <v>0</v>
      </c>
    </row>
    <row r="336" customFormat="false" ht="15" hidden="false" customHeight="false" outlineLevel="0" collapsed="false">
      <c r="A336" s="15" t="s">
        <v>901</v>
      </c>
      <c r="B336" s="15" t="s">
        <v>68</v>
      </c>
      <c r="C336" s="15" t="s">
        <v>899</v>
      </c>
      <c r="D336" s="15" t="s">
        <v>900</v>
      </c>
      <c r="E336" s="15" t="s">
        <v>392</v>
      </c>
      <c r="F336" s="24" t="s">
        <v>173</v>
      </c>
      <c r="G336" s="15" t="n">
        <f aca="false">IFERROR(INDEX(Decisions!$K$2:$K$122,MATCH(E336,Decisions!$A$2:$A$122,0)),"")</f>
        <v>0</v>
      </c>
    </row>
    <row r="337" customFormat="false" ht="15" hidden="false" customHeight="false" outlineLevel="0" collapsed="false">
      <c r="A337" s="15" t="s">
        <v>902</v>
      </c>
      <c r="B337" s="15" t="s">
        <v>68</v>
      </c>
      <c r="C337" s="15" t="s">
        <v>903</v>
      </c>
      <c r="D337" s="15" t="s">
        <v>904</v>
      </c>
      <c r="E337" s="15" t="s">
        <v>212</v>
      </c>
      <c r="F337" s="24" t="s">
        <v>173</v>
      </c>
      <c r="G337" s="15" t="n">
        <f aca="false">IFERROR(INDEX(Decisions!$K$2:$K$122,MATCH(E337,Decisions!$A$2:$A$122,0)),"")</f>
        <v>0</v>
      </c>
    </row>
    <row r="338" customFormat="false" ht="15" hidden="false" customHeight="false" outlineLevel="0" collapsed="false">
      <c r="A338" s="15" t="s">
        <v>905</v>
      </c>
      <c r="B338" s="15" t="s">
        <v>68</v>
      </c>
      <c r="C338" s="15" t="s">
        <v>903</v>
      </c>
      <c r="D338" s="15" t="s">
        <v>904</v>
      </c>
      <c r="E338" s="15" t="s">
        <v>187</v>
      </c>
      <c r="F338" s="24" t="s">
        <v>173</v>
      </c>
      <c r="G338" s="15" t="n">
        <f aca="false">IFERROR(INDEX(Decisions!$K$2:$K$122,MATCH(E338,Decisions!$A$2:$A$122,0)),"")</f>
        <v>0</v>
      </c>
    </row>
    <row r="339" customFormat="false" ht="15" hidden="false" customHeight="false" outlineLevel="0" collapsed="false">
      <c r="A339" s="15" t="s">
        <v>906</v>
      </c>
      <c r="B339" s="15" t="s">
        <v>68</v>
      </c>
      <c r="C339" s="15" t="s">
        <v>903</v>
      </c>
      <c r="D339" s="15" t="s">
        <v>904</v>
      </c>
      <c r="E339" s="15" t="s">
        <v>170</v>
      </c>
      <c r="F339" s="24" t="s">
        <v>173</v>
      </c>
      <c r="G339" s="15" t="n">
        <f aca="false">IFERROR(INDEX(Decisions!$K$2:$K$122,MATCH(E339,Decisions!$A$2:$A$122,0)),"")</f>
        <v>0</v>
      </c>
    </row>
    <row r="340" customFormat="false" ht="15" hidden="false" customHeight="false" outlineLevel="0" collapsed="false">
      <c r="A340" s="15" t="s">
        <v>907</v>
      </c>
      <c r="B340" s="15" t="s">
        <v>68</v>
      </c>
      <c r="C340" s="15" t="s">
        <v>903</v>
      </c>
      <c r="D340" s="15" t="s">
        <v>908</v>
      </c>
      <c r="E340" s="15" t="s">
        <v>187</v>
      </c>
      <c r="F340" s="24" t="s">
        <v>173</v>
      </c>
      <c r="G340" s="15" t="n">
        <f aca="false">IFERROR(INDEX(Decisions!$K$2:$K$122,MATCH(E340,Decisions!$A$2:$A$122,0)),"")</f>
        <v>0</v>
      </c>
    </row>
    <row r="341" customFormat="false" ht="15" hidden="false" customHeight="false" outlineLevel="0" collapsed="false">
      <c r="A341" s="15" t="s">
        <v>909</v>
      </c>
      <c r="B341" s="15" t="s">
        <v>68</v>
      </c>
      <c r="C341" s="15" t="s">
        <v>903</v>
      </c>
      <c r="D341" s="15" t="s">
        <v>908</v>
      </c>
      <c r="E341" s="15" t="s">
        <v>170</v>
      </c>
      <c r="F341" s="24" t="s">
        <v>173</v>
      </c>
      <c r="G341" s="15" t="n">
        <f aca="false">IFERROR(INDEX(Decisions!$K$2:$K$122,MATCH(E341,Decisions!$A$2:$A$122,0)),"")</f>
        <v>0</v>
      </c>
    </row>
    <row r="342" customFormat="false" ht="15" hidden="false" customHeight="false" outlineLevel="0" collapsed="false">
      <c r="A342" s="15" t="s">
        <v>910</v>
      </c>
      <c r="B342" s="15" t="s">
        <v>68</v>
      </c>
      <c r="C342" s="15" t="s">
        <v>903</v>
      </c>
      <c r="D342" s="15" t="s">
        <v>911</v>
      </c>
      <c r="E342" s="15" t="s">
        <v>170</v>
      </c>
      <c r="F342" s="24" t="s">
        <v>173</v>
      </c>
      <c r="G342" s="15" t="n">
        <f aca="false">IFERROR(INDEX(Decisions!$K$2:$K$122,MATCH(E342,Decisions!$A$2:$A$122,0)),"")</f>
        <v>0</v>
      </c>
    </row>
    <row r="343" customFormat="false" ht="15" hidden="false" customHeight="false" outlineLevel="0" collapsed="false">
      <c r="A343" s="15" t="s">
        <v>912</v>
      </c>
      <c r="B343" s="15" t="s">
        <v>68</v>
      </c>
      <c r="C343" s="15" t="s">
        <v>913</v>
      </c>
      <c r="D343" s="15" t="s">
        <v>914</v>
      </c>
      <c r="E343" s="15" t="s">
        <v>101</v>
      </c>
      <c r="F343" s="23" t="s">
        <v>97</v>
      </c>
      <c r="G343" s="15" t="n">
        <f aca="false">IFERROR(INDEX(Decisions!$K$2:$K$122,MATCH(E343,Decisions!$A$2:$A$122,0)),"")</f>
        <v>0</v>
      </c>
    </row>
    <row r="344" customFormat="false" ht="15" hidden="false" customHeight="false" outlineLevel="0" collapsed="false">
      <c r="A344" s="15" t="s">
        <v>915</v>
      </c>
      <c r="B344" s="15" t="s">
        <v>68</v>
      </c>
      <c r="C344" s="15" t="s">
        <v>913</v>
      </c>
      <c r="D344" s="15" t="s">
        <v>914</v>
      </c>
      <c r="E344" s="15" t="s">
        <v>104</v>
      </c>
      <c r="F344" s="23" t="s">
        <v>97</v>
      </c>
      <c r="G344" s="15" t="n">
        <f aca="false">IFERROR(INDEX(Decisions!$K$2:$K$122,MATCH(E344,Decisions!$A$2:$A$122,0)),"")</f>
        <v>0</v>
      </c>
    </row>
    <row r="345" customFormat="false" ht="15" hidden="false" customHeight="false" outlineLevel="0" collapsed="false">
      <c r="A345" s="15" t="s">
        <v>916</v>
      </c>
      <c r="B345" s="15" t="s">
        <v>68</v>
      </c>
      <c r="C345" s="15" t="s">
        <v>913</v>
      </c>
      <c r="D345" s="15" t="s">
        <v>914</v>
      </c>
      <c r="E345" s="15" t="s">
        <v>201</v>
      </c>
      <c r="F345" s="24" t="s">
        <v>173</v>
      </c>
      <c r="G345" s="15" t="n">
        <f aca="false">IFERROR(INDEX(Decisions!$K$2:$K$122,MATCH(E345,Decisions!$A$2:$A$122,0)),"")</f>
        <v>0</v>
      </c>
    </row>
    <row r="346" customFormat="false" ht="15" hidden="false" customHeight="false" outlineLevel="0" collapsed="false">
      <c r="A346" s="15" t="s">
        <v>917</v>
      </c>
      <c r="B346" s="15" t="s">
        <v>68</v>
      </c>
      <c r="C346" s="15" t="s">
        <v>913</v>
      </c>
      <c r="D346" s="15" t="s">
        <v>914</v>
      </c>
      <c r="E346" s="15" t="s">
        <v>206</v>
      </c>
      <c r="F346" s="24" t="s">
        <v>173</v>
      </c>
      <c r="G346" s="15" t="n">
        <f aca="false">IFERROR(INDEX(Decisions!$K$2:$K$122,MATCH(E346,Decisions!$A$2:$A$122,0)),"")</f>
        <v>0</v>
      </c>
    </row>
    <row r="347" customFormat="false" ht="15" hidden="false" customHeight="false" outlineLevel="0" collapsed="false">
      <c r="A347" s="15" t="s">
        <v>918</v>
      </c>
      <c r="B347" s="15" t="s">
        <v>68</v>
      </c>
      <c r="C347" s="15" t="s">
        <v>913</v>
      </c>
      <c r="D347" s="15" t="s">
        <v>919</v>
      </c>
      <c r="E347" s="15" t="s">
        <v>101</v>
      </c>
      <c r="F347" s="23" t="s">
        <v>97</v>
      </c>
      <c r="G347" s="15" t="n">
        <f aca="false">IFERROR(INDEX(Decisions!$K$2:$K$122,MATCH(E347,Decisions!$A$2:$A$122,0)),"")</f>
        <v>0</v>
      </c>
    </row>
    <row r="348" customFormat="false" ht="15" hidden="false" customHeight="false" outlineLevel="0" collapsed="false">
      <c r="A348" s="15" t="s">
        <v>920</v>
      </c>
      <c r="B348" s="15" t="s">
        <v>68</v>
      </c>
      <c r="C348" s="15" t="s">
        <v>913</v>
      </c>
      <c r="D348" s="15" t="s">
        <v>919</v>
      </c>
      <c r="E348" s="15" t="s">
        <v>104</v>
      </c>
      <c r="F348" s="23" t="s">
        <v>97</v>
      </c>
      <c r="G348" s="15" t="n">
        <f aca="false">IFERROR(INDEX(Decisions!$K$2:$K$122,MATCH(E348,Decisions!$A$2:$A$122,0)),"")</f>
        <v>0</v>
      </c>
    </row>
    <row r="349" customFormat="false" ht="15" hidden="false" customHeight="false" outlineLevel="0" collapsed="false">
      <c r="A349" s="15" t="s">
        <v>921</v>
      </c>
      <c r="B349" s="15" t="s">
        <v>68</v>
      </c>
      <c r="C349" s="15" t="s">
        <v>913</v>
      </c>
      <c r="D349" s="15" t="s">
        <v>919</v>
      </c>
      <c r="E349" s="15" t="s">
        <v>201</v>
      </c>
      <c r="F349" s="24" t="s">
        <v>173</v>
      </c>
      <c r="G349" s="15" t="n">
        <f aca="false">IFERROR(INDEX(Decisions!$K$2:$K$122,MATCH(E349,Decisions!$A$2:$A$122,0)),"")</f>
        <v>0</v>
      </c>
    </row>
    <row r="350" customFormat="false" ht="15" hidden="false" customHeight="false" outlineLevel="0" collapsed="false">
      <c r="A350" s="15" t="s">
        <v>922</v>
      </c>
      <c r="B350" s="15" t="s">
        <v>68</v>
      </c>
      <c r="C350" s="15" t="s">
        <v>913</v>
      </c>
      <c r="D350" s="15" t="s">
        <v>919</v>
      </c>
      <c r="E350" s="15" t="s">
        <v>206</v>
      </c>
      <c r="F350" s="24" t="s">
        <v>173</v>
      </c>
      <c r="G350" s="15" t="n">
        <f aca="false">IFERROR(INDEX(Decisions!$K$2:$K$122,MATCH(E350,Decisions!$A$2:$A$122,0)),"")</f>
        <v>0</v>
      </c>
    </row>
    <row r="351" customFormat="false" ht="15" hidden="false" customHeight="false" outlineLevel="0" collapsed="false">
      <c r="A351" s="15" t="s">
        <v>923</v>
      </c>
      <c r="B351" s="15" t="s">
        <v>68</v>
      </c>
      <c r="C351" s="15" t="s">
        <v>924</v>
      </c>
      <c r="D351" s="15" t="s">
        <v>925</v>
      </c>
      <c r="E351" s="15" t="s">
        <v>113</v>
      </c>
      <c r="F351" s="23" t="s">
        <v>97</v>
      </c>
      <c r="G351" s="15" t="n">
        <f aca="false">IFERROR(INDEX(Decisions!$K$2:$K$122,MATCH(E351,Decisions!$A$2:$A$122,0)),"")</f>
        <v>0</v>
      </c>
    </row>
    <row r="352" customFormat="false" ht="15" hidden="false" customHeight="false" outlineLevel="0" collapsed="false">
      <c r="A352" s="15" t="s">
        <v>926</v>
      </c>
      <c r="B352" s="15" t="s">
        <v>68</v>
      </c>
      <c r="C352" s="15" t="s">
        <v>924</v>
      </c>
      <c r="D352" s="15" t="s">
        <v>925</v>
      </c>
      <c r="E352" s="15" t="s">
        <v>116</v>
      </c>
      <c r="F352" s="23" t="s">
        <v>97</v>
      </c>
      <c r="G352" s="15" t="n">
        <f aca="false">IFERROR(INDEX(Decisions!$K$2:$K$122,MATCH(E352,Decisions!$A$2:$A$122,0)),"")</f>
        <v>0</v>
      </c>
    </row>
    <row r="353" customFormat="false" ht="15" hidden="false" customHeight="false" outlineLevel="0" collapsed="false">
      <c r="A353" s="15" t="s">
        <v>927</v>
      </c>
      <c r="B353" s="15" t="s">
        <v>68</v>
      </c>
      <c r="C353" s="15" t="s">
        <v>924</v>
      </c>
      <c r="D353" s="15" t="s">
        <v>925</v>
      </c>
      <c r="E353" s="15" t="s">
        <v>218</v>
      </c>
      <c r="F353" s="24" t="s">
        <v>173</v>
      </c>
      <c r="G353" s="15" t="n">
        <f aca="false">IFERROR(INDEX(Decisions!$K$2:$K$122,MATCH(E353,Decisions!$A$2:$A$122,0)),"")</f>
        <v>0</v>
      </c>
    </row>
    <row r="354" customFormat="false" ht="15" hidden="false" customHeight="false" outlineLevel="0" collapsed="false">
      <c r="A354" s="15" t="s">
        <v>928</v>
      </c>
      <c r="B354" s="15" t="s">
        <v>68</v>
      </c>
      <c r="C354" s="15" t="s">
        <v>924</v>
      </c>
      <c r="D354" s="15" t="s">
        <v>925</v>
      </c>
      <c r="E354" s="15" t="s">
        <v>118</v>
      </c>
      <c r="F354" s="23" t="s">
        <v>97</v>
      </c>
      <c r="G354" s="15" t="n">
        <f aca="false">IFERROR(INDEX(Decisions!$K$2:$K$122,MATCH(E354,Decisions!$A$2:$A$122,0)),"")</f>
        <v>0</v>
      </c>
    </row>
    <row r="355" customFormat="false" ht="15" hidden="false" customHeight="false" outlineLevel="0" collapsed="false">
      <c r="A355" s="15" t="s">
        <v>929</v>
      </c>
      <c r="B355" s="15" t="s">
        <v>68</v>
      </c>
      <c r="C355" s="15" t="s">
        <v>913</v>
      </c>
      <c r="D355" s="15" t="s">
        <v>930</v>
      </c>
      <c r="E355" s="15" t="s">
        <v>94</v>
      </c>
      <c r="F355" s="23" t="s">
        <v>97</v>
      </c>
      <c r="G355" s="15" t="n">
        <f aca="false">IFERROR(INDEX(Decisions!$K$2:$K$122,MATCH(E355,Decisions!$A$2:$A$122,0)),"")</f>
        <v>0</v>
      </c>
    </row>
    <row r="356" customFormat="false" ht="15" hidden="false" customHeight="false" outlineLevel="0" collapsed="false">
      <c r="A356" s="15" t="s">
        <v>931</v>
      </c>
      <c r="B356" s="15" t="s">
        <v>68</v>
      </c>
      <c r="C356" s="15" t="s">
        <v>913</v>
      </c>
      <c r="D356" s="15" t="s">
        <v>930</v>
      </c>
      <c r="E356" s="15" t="s">
        <v>183</v>
      </c>
      <c r="F356" s="24" t="s">
        <v>173</v>
      </c>
      <c r="G356" s="15" t="n">
        <f aca="false">IFERROR(INDEX(Decisions!$K$2:$K$122,MATCH(E356,Decisions!$A$2:$A$122,0)),"")</f>
        <v>0</v>
      </c>
    </row>
    <row r="357" customFormat="false" ht="15" hidden="false" customHeight="false" outlineLevel="0" collapsed="false">
      <c r="A357" s="15" t="s">
        <v>932</v>
      </c>
      <c r="B357" s="15" t="s">
        <v>68</v>
      </c>
      <c r="C357" s="15" t="s">
        <v>913</v>
      </c>
      <c r="D357" s="15" t="s">
        <v>933</v>
      </c>
      <c r="E357" s="15" t="s">
        <v>94</v>
      </c>
      <c r="F357" s="23" t="s">
        <v>97</v>
      </c>
      <c r="G357" s="15" t="n">
        <f aca="false">IFERROR(INDEX(Decisions!$K$2:$K$122,MATCH(E357,Decisions!$A$2:$A$122,0)),"")</f>
        <v>0</v>
      </c>
    </row>
    <row r="358" customFormat="false" ht="15" hidden="false" customHeight="false" outlineLevel="0" collapsed="false">
      <c r="A358" s="15" t="s">
        <v>934</v>
      </c>
      <c r="B358" s="15" t="s">
        <v>68</v>
      </c>
      <c r="C358" s="15" t="s">
        <v>913</v>
      </c>
      <c r="D358" s="15" t="s">
        <v>933</v>
      </c>
      <c r="E358" s="15" t="s">
        <v>183</v>
      </c>
      <c r="F358" s="24" t="s">
        <v>173</v>
      </c>
      <c r="G358" s="15" t="n">
        <f aca="false">IFERROR(INDEX(Decisions!$K$2:$K$122,MATCH(E358,Decisions!$A$2:$A$122,0)),"")</f>
        <v>0</v>
      </c>
    </row>
    <row r="359" customFormat="false" ht="15" hidden="false" customHeight="false" outlineLevel="0" collapsed="false">
      <c r="A359" s="15" t="s">
        <v>935</v>
      </c>
      <c r="B359" s="15" t="s">
        <v>68</v>
      </c>
      <c r="C359" s="15" t="s">
        <v>913</v>
      </c>
      <c r="D359" s="15" t="s">
        <v>651</v>
      </c>
      <c r="E359" s="15" t="s">
        <v>94</v>
      </c>
      <c r="F359" s="23" t="s">
        <v>97</v>
      </c>
      <c r="G359" s="15" t="n">
        <f aca="false">IFERROR(INDEX(Decisions!$K$2:$K$122,MATCH(E359,Decisions!$A$2:$A$122,0)),"")</f>
        <v>0</v>
      </c>
    </row>
    <row r="360" customFormat="false" ht="15" hidden="false" customHeight="false" outlineLevel="0" collapsed="false">
      <c r="A360" s="15" t="s">
        <v>936</v>
      </c>
      <c r="B360" s="15" t="s">
        <v>68</v>
      </c>
      <c r="C360" s="15" t="s">
        <v>913</v>
      </c>
      <c r="D360" s="15" t="s">
        <v>651</v>
      </c>
      <c r="E360" s="15" t="s">
        <v>215</v>
      </c>
      <c r="F360" s="24" t="s">
        <v>173</v>
      </c>
      <c r="G360" s="15" t="n">
        <f aca="false">IFERROR(INDEX(Decisions!$K$2:$K$122,MATCH(E360,Decisions!$A$2:$A$122,0)),"")</f>
        <v>0</v>
      </c>
    </row>
    <row r="361" customFormat="false" ht="15" hidden="false" customHeight="false" outlineLevel="0" collapsed="false">
      <c r="A361" s="15" t="s">
        <v>937</v>
      </c>
      <c r="B361" s="15" t="s">
        <v>68</v>
      </c>
      <c r="C361" s="15" t="s">
        <v>913</v>
      </c>
      <c r="D361" s="15" t="s">
        <v>651</v>
      </c>
      <c r="E361" s="15" t="s">
        <v>183</v>
      </c>
      <c r="F361" s="24" t="s">
        <v>173</v>
      </c>
      <c r="G361" s="15" t="n">
        <f aca="false">IFERROR(INDEX(Decisions!$K$2:$K$122,MATCH(E361,Decisions!$A$2:$A$122,0)),"")</f>
        <v>0</v>
      </c>
    </row>
    <row r="362" customFormat="false" ht="15" hidden="false" customHeight="false" outlineLevel="0" collapsed="false">
      <c r="A362" s="15" t="s">
        <v>938</v>
      </c>
      <c r="B362" s="15" t="s">
        <v>68</v>
      </c>
      <c r="C362" s="15" t="s">
        <v>891</v>
      </c>
      <c r="D362" s="15" t="s">
        <v>939</v>
      </c>
      <c r="E362" s="15" t="s">
        <v>94</v>
      </c>
      <c r="F362" s="23" t="s">
        <v>97</v>
      </c>
      <c r="G362" s="15" t="n">
        <f aca="false">IFERROR(INDEX(Decisions!$K$2:$K$122,MATCH(E362,Decisions!$A$2:$A$122,0)),"")</f>
        <v>0</v>
      </c>
    </row>
    <row r="363" customFormat="false" ht="15" hidden="false" customHeight="false" outlineLevel="0" collapsed="false">
      <c r="A363" s="15" t="s">
        <v>940</v>
      </c>
      <c r="B363" s="15" t="s">
        <v>68</v>
      </c>
      <c r="C363" s="15" t="s">
        <v>891</v>
      </c>
      <c r="D363" s="15" t="s">
        <v>939</v>
      </c>
      <c r="E363" s="15" t="s">
        <v>233</v>
      </c>
      <c r="F363" s="24" t="s">
        <v>173</v>
      </c>
      <c r="G363" s="15" t="n">
        <f aca="false">IFERROR(INDEX(Decisions!$K$2:$K$122,MATCH(E363,Decisions!$A$2:$A$122,0)),"")</f>
        <v>0</v>
      </c>
    </row>
    <row r="364" customFormat="false" ht="15" hidden="false" customHeight="false" outlineLevel="0" collapsed="false">
      <c r="A364" s="15" t="s">
        <v>941</v>
      </c>
      <c r="B364" s="15" t="s">
        <v>68</v>
      </c>
      <c r="C364" s="15" t="s">
        <v>891</v>
      </c>
      <c r="D364" s="15" t="s">
        <v>939</v>
      </c>
      <c r="E364" s="15" t="s">
        <v>183</v>
      </c>
      <c r="F364" s="24" t="s">
        <v>173</v>
      </c>
      <c r="G364" s="15" t="n">
        <f aca="false">IFERROR(INDEX(Decisions!$K$2:$K$122,MATCH(E364,Decisions!$A$2:$A$122,0)),"")</f>
        <v>0</v>
      </c>
    </row>
    <row r="365" customFormat="false" ht="15" hidden="false" customHeight="false" outlineLevel="0" collapsed="false">
      <c r="A365" s="15" t="s">
        <v>942</v>
      </c>
      <c r="B365" s="15" t="s">
        <v>68</v>
      </c>
      <c r="C365" s="15" t="s">
        <v>943</v>
      </c>
      <c r="D365" s="15" t="s">
        <v>656</v>
      </c>
      <c r="E365" s="15" t="s">
        <v>110</v>
      </c>
      <c r="F365" s="23" t="s">
        <v>97</v>
      </c>
      <c r="G365" s="15" t="n">
        <f aca="false">IFERROR(INDEX(Decisions!$K$2:$K$122,MATCH(E365,Decisions!$A$2:$A$122,0)),"")</f>
        <v>0</v>
      </c>
    </row>
    <row r="366" customFormat="false" ht="15" hidden="false" customHeight="false" outlineLevel="0" collapsed="false">
      <c r="A366" s="15" t="s">
        <v>944</v>
      </c>
      <c r="B366" s="15" t="s">
        <v>68</v>
      </c>
      <c r="C366" s="15" t="s">
        <v>943</v>
      </c>
      <c r="D366" s="15" t="s">
        <v>656</v>
      </c>
      <c r="E366" s="15" t="s">
        <v>198</v>
      </c>
      <c r="F366" s="24" t="s">
        <v>173</v>
      </c>
      <c r="G366" s="15" t="n">
        <f aca="false">IFERROR(INDEX(Decisions!$K$2:$K$122,MATCH(E366,Decisions!$A$2:$A$122,0)),"")</f>
        <v>0</v>
      </c>
    </row>
    <row r="367" customFormat="false" ht="15" hidden="false" customHeight="false" outlineLevel="0" collapsed="false">
      <c r="A367" s="15" t="s">
        <v>945</v>
      </c>
      <c r="B367" s="15" t="s">
        <v>68</v>
      </c>
      <c r="C367" s="15" t="s">
        <v>946</v>
      </c>
      <c r="D367" s="15" t="s">
        <v>947</v>
      </c>
      <c r="E367" s="15" t="s">
        <v>77</v>
      </c>
      <c r="F367" s="25" t="s">
        <v>26</v>
      </c>
      <c r="G367" s="15" t="str">
        <f aca="false">IFERROR(INDEX(Decisions!$K$2:$K$122,MATCH(E367,Decisions!$A$2:$A$122,0)),"")</f>
        <v>drop</v>
      </c>
    </row>
    <row r="368" customFormat="false" ht="15" hidden="false" customHeight="false" outlineLevel="0" collapsed="false">
      <c r="A368" s="15" t="s">
        <v>948</v>
      </c>
      <c r="B368" s="15" t="s">
        <v>68</v>
      </c>
      <c r="C368" s="15" t="s">
        <v>946</v>
      </c>
      <c r="D368" s="15" t="s">
        <v>947</v>
      </c>
      <c r="E368" s="15" t="s">
        <v>149</v>
      </c>
      <c r="F368" s="23" t="s">
        <v>97</v>
      </c>
      <c r="G368" s="15" t="n">
        <f aca="false">IFERROR(INDEX(Decisions!$K$2:$K$122,MATCH(E368,Decisions!$A$2:$A$122,0)),"")</f>
        <v>0</v>
      </c>
    </row>
    <row r="369" customFormat="false" ht="15" hidden="false" customHeight="false" outlineLevel="0" collapsed="false">
      <c r="A369" s="15" t="s">
        <v>949</v>
      </c>
      <c r="B369" s="15" t="s">
        <v>68</v>
      </c>
      <c r="C369" s="15" t="s">
        <v>946</v>
      </c>
      <c r="D369" s="15" t="s">
        <v>947</v>
      </c>
      <c r="E369" s="15" t="s">
        <v>309</v>
      </c>
      <c r="F369" s="24" t="s">
        <v>173</v>
      </c>
      <c r="G369" s="15" t="n">
        <f aca="false">IFERROR(INDEX(Decisions!$K$2:$K$122,MATCH(E369,Decisions!$A$2:$A$122,0)),"")</f>
        <v>0</v>
      </c>
    </row>
    <row r="370" customFormat="false" ht="15" hidden="false" customHeight="false" outlineLevel="0" collapsed="false">
      <c r="A370" s="15" t="s">
        <v>950</v>
      </c>
      <c r="B370" s="15" t="s">
        <v>68</v>
      </c>
      <c r="C370" s="15" t="s">
        <v>946</v>
      </c>
      <c r="D370" s="15" t="s">
        <v>947</v>
      </c>
      <c r="E370" s="15" t="s">
        <v>311</v>
      </c>
      <c r="F370" s="24" t="s">
        <v>173</v>
      </c>
      <c r="G370" s="15" t="n">
        <f aca="false">IFERROR(INDEX(Decisions!$K$2:$K$122,MATCH(E370,Decisions!$A$2:$A$122,0)),"")</f>
        <v>0</v>
      </c>
    </row>
    <row r="371" customFormat="false" ht="15" hidden="false" customHeight="false" outlineLevel="0" collapsed="false">
      <c r="A371" s="15" t="s">
        <v>951</v>
      </c>
      <c r="B371" s="15" t="s">
        <v>68</v>
      </c>
      <c r="C371" s="15" t="s">
        <v>946</v>
      </c>
      <c r="D371" s="15" t="s">
        <v>947</v>
      </c>
      <c r="E371" s="15" t="s">
        <v>92</v>
      </c>
      <c r="F371" s="25" t="s">
        <v>26</v>
      </c>
      <c r="G371" s="15" t="str">
        <f aca="false">IFERROR(INDEX(Decisions!$K$2:$K$122,MATCH(E371,Decisions!$A$2:$A$122,0)),"")</f>
        <v>drop</v>
      </c>
    </row>
    <row r="372" customFormat="false" ht="15" hidden="false" customHeight="false" outlineLevel="0" collapsed="false">
      <c r="A372" s="15" t="s">
        <v>952</v>
      </c>
      <c r="B372" s="15" t="s">
        <v>68</v>
      </c>
      <c r="C372" s="15" t="s">
        <v>953</v>
      </c>
      <c r="D372" s="15" t="s">
        <v>954</v>
      </c>
      <c r="E372" s="15" t="s">
        <v>66</v>
      </c>
      <c r="F372" s="25" t="s">
        <v>26</v>
      </c>
      <c r="G372" s="15" t="str">
        <f aca="false">IFERROR(INDEX(Decisions!$K$2:$K$122,MATCH(E372,Decisions!$A$2:$A$122,0)),"")</f>
        <v>keep</v>
      </c>
    </row>
    <row r="373" customFormat="false" ht="15" hidden="false" customHeight="false" outlineLevel="0" collapsed="false">
      <c r="A373" s="15" t="s">
        <v>955</v>
      </c>
      <c r="B373" s="15" t="s">
        <v>68</v>
      </c>
      <c r="C373" s="15" t="s">
        <v>953</v>
      </c>
      <c r="D373" s="15" t="s">
        <v>954</v>
      </c>
      <c r="E373" s="15" t="s">
        <v>128</v>
      </c>
      <c r="F373" s="23" t="s">
        <v>97</v>
      </c>
      <c r="G373" s="15" t="n">
        <f aca="false">IFERROR(INDEX(Decisions!$K$2:$K$122,MATCH(E373,Decisions!$A$2:$A$122,0)),"")</f>
        <v>0</v>
      </c>
    </row>
    <row r="374" customFormat="false" ht="15" hidden="false" customHeight="false" outlineLevel="0" collapsed="false">
      <c r="A374" s="15" t="s">
        <v>956</v>
      </c>
      <c r="B374" s="15" t="s">
        <v>68</v>
      </c>
      <c r="C374" s="15" t="s">
        <v>953</v>
      </c>
      <c r="D374" s="15" t="s">
        <v>954</v>
      </c>
      <c r="E374" s="15" t="s">
        <v>135</v>
      </c>
      <c r="F374" s="23" t="s">
        <v>97</v>
      </c>
      <c r="G374" s="15" t="n">
        <f aca="false">IFERROR(INDEX(Decisions!$K$2:$K$122,MATCH(E374,Decisions!$A$2:$A$122,0)),"")</f>
        <v>0</v>
      </c>
    </row>
    <row r="375" customFormat="false" ht="15" hidden="false" customHeight="false" outlineLevel="0" collapsed="false">
      <c r="A375" s="15" t="s">
        <v>957</v>
      </c>
      <c r="B375" s="15" t="s">
        <v>68</v>
      </c>
      <c r="C375" s="15" t="s">
        <v>958</v>
      </c>
      <c r="D375" s="15" t="s">
        <v>959</v>
      </c>
      <c r="E375" s="15" t="s">
        <v>351</v>
      </c>
      <c r="F375" s="24" t="s">
        <v>173</v>
      </c>
      <c r="G375" s="15" t="n">
        <f aca="false">IFERROR(INDEX(Decisions!$K$2:$K$122,MATCH(E375,Decisions!$A$2:$A$122,0)),"")</f>
        <v>0</v>
      </c>
    </row>
    <row r="376" customFormat="false" ht="15" hidden="false" customHeight="false" outlineLevel="0" collapsed="false">
      <c r="A376" s="15" t="s">
        <v>960</v>
      </c>
      <c r="B376" s="15" t="s">
        <v>68</v>
      </c>
      <c r="C376" s="15" t="s">
        <v>958</v>
      </c>
      <c r="D376" s="15" t="s">
        <v>959</v>
      </c>
      <c r="E376" s="15" t="s">
        <v>86</v>
      </c>
      <c r="F376" s="25" t="s">
        <v>26</v>
      </c>
      <c r="G376" s="15" t="str">
        <f aca="false">IFERROR(INDEX(Decisions!$K$2:$K$122,MATCH(E376,Decisions!$A$2:$A$122,0)),"")</f>
        <v>drop</v>
      </c>
    </row>
    <row r="377" customFormat="false" ht="15" hidden="false" customHeight="false" outlineLevel="0" collapsed="false">
      <c r="A377" s="15" t="s">
        <v>961</v>
      </c>
      <c r="B377" s="15" t="s">
        <v>68</v>
      </c>
      <c r="C377" s="15" t="s">
        <v>958</v>
      </c>
      <c r="D377" s="15" t="s">
        <v>959</v>
      </c>
      <c r="E377" s="15" t="s">
        <v>399</v>
      </c>
      <c r="F377" s="24" t="s">
        <v>173</v>
      </c>
      <c r="G377" s="15" t="n">
        <f aca="false">IFERROR(INDEX(Decisions!$K$2:$K$122,MATCH(E377,Decisions!$A$2:$A$122,0)),"")</f>
        <v>0</v>
      </c>
    </row>
    <row r="378" customFormat="false" ht="15" hidden="false" customHeight="false" outlineLevel="0" collapsed="false">
      <c r="A378" s="15" t="s">
        <v>962</v>
      </c>
      <c r="B378" s="15" t="s">
        <v>68</v>
      </c>
      <c r="C378" s="15" t="s">
        <v>963</v>
      </c>
      <c r="D378" s="15" t="s">
        <v>964</v>
      </c>
      <c r="E378" s="15" t="s">
        <v>132</v>
      </c>
      <c r="F378" s="23" t="s">
        <v>97</v>
      </c>
      <c r="G378" s="15" t="n">
        <f aca="false">IFERROR(INDEX(Decisions!$K$2:$K$122,MATCH(E378,Decisions!$A$2:$A$122,0)),"")</f>
        <v>0</v>
      </c>
    </row>
    <row r="379" customFormat="false" ht="15" hidden="false" customHeight="false" outlineLevel="0" collapsed="false">
      <c r="A379" s="15" t="s">
        <v>965</v>
      </c>
      <c r="B379" s="15" t="s">
        <v>68</v>
      </c>
      <c r="C379" s="15" t="s">
        <v>953</v>
      </c>
      <c r="D379" s="15" t="s">
        <v>966</v>
      </c>
      <c r="E379" s="15" t="s">
        <v>83</v>
      </c>
      <c r="F379" s="25" t="s">
        <v>26</v>
      </c>
      <c r="G379" s="15" t="str">
        <f aca="false">IFERROR(INDEX(Decisions!$K$2:$K$122,MATCH(E379,Decisions!$A$2:$A$122,0)),"")</f>
        <v>keep</v>
      </c>
    </row>
    <row r="380" customFormat="false" ht="15" hidden="false" customHeight="false" outlineLevel="0" collapsed="false">
      <c r="A380" s="15" t="s">
        <v>967</v>
      </c>
      <c r="B380" s="15" t="s">
        <v>68</v>
      </c>
      <c r="C380" s="15" t="s">
        <v>968</v>
      </c>
      <c r="D380" s="15" t="s">
        <v>969</v>
      </c>
      <c r="E380" s="15" t="s">
        <v>113</v>
      </c>
      <c r="F380" s="23" t="s">
        <v>97</v>
      </c>
      <c r="G380" s="15" t="n">
        <f aca="false">IFERROR(INDEX(Decisions!$K$2:$K$122,MATCH(E380,Decisions!$A$2:$A$122,0)),"")</f>
        <v>0</v>
      </c>
    </row>
    <row r="381" customFormat="false" ht="15" hidden="false" customHeight="false" outlineLevel="0" collapsed="false">
      <c r="A381" s="15" t="s">
        <v>970</v>
      </c>
      <c r="B381" s="15" t="s">
        <v>68</v>
      </c>
      <c r="C381" s="15" t="s">
        <v>968</v>
      </c>
      <c r="D381" s="15" t="s">
        <v>969</v>
      </c>
      <c r="E381" s="15" t="s">
        <v>116</v>
      </c>
      <c r="F381" s="23" t="s">
        <v>97</v>
      </c>
      <c r="G381" s="15" t="n">
        <f aca="false">IFERROR(INDEX(Decisions!$K$2:$K$122,MATCH(E381,Decisions!$A$2:$A$122,0)),"")</f>
        <v>0</v>
      </c>
    </row>
    <row r="382" customFormat="false" ht="15" hidden="false" customHeight="false" outlineLevel="0" collapsed="false">
      <c r="A382" s="15" t="s">
        <v>971</v>
      </c>
      <c r="B382" s="15" t="s">
        <v>68</v>
      </c>
      <c r="C382" s="15" t="s">
        <v>968</v>
      </c>
      <c r="D382" s="15" t="s">
        <v>969</v>
      </c>
      <c r="E382" s="15" t="s">
        <v>225</v>
      </c>
      <c r="F382" s="24" t="s">
        <v>173</v>
      </c>
      <c r="G382" s="15" t="n">
        <f aca="false">IFERROR(INDEX(Decisions!$K$2:$K$122,MATCH(E382,Decisions!$A$2:$A$122,0)),"")</f>
        <v>0</v>
      </c>
    </row>
    <row r="383" customFormat="false" ht="15" hidden="false" customHeight="false" outlineLevel="0" collapsed="false">
      <c r="A383" s="15" t="s">
        <v>972</v>
      </c>
      <c r="B383" s="15" t="s">
        <v>68</v>
      </c>
      <c r="C383" s="15" t="s">
        <v>968</v>
      </c>
      <c r="D383" s="15" t="s">
        <v>969</v>
      </c>
      <c r="E383" s="15" t="s">
        <v>231</v>
      </c>
      <c r="F383" s="24" t="s">
        <v>173</v>
      </c>
      <c r="G383" s="15" t="n">
        <f aca="false">IFERROR(INDEX(Decisions!$K$2:$K$122,MATCH(E383,Decisions!$A$2:$A$122,0)),"")</f>
        <v>0</v>
      </c>
    </row>
    <row r="384" customFormat="false" ht="15" hidden="false" customHeight="false" outlineLevel="0" collapsed="false">
      <c r="A384" s="15" t="s">
        <v>973</v>
      </c>
      <c r="B384" s="15" t="s">
        <v>68</v>
      </c>
      <c r="C384" s="15" t="s">
        <v>968</v>
      </c>
      <c r="D384" s="15" t="s">
        <v>969</v>
      </c>
      <c r="E384" s="15" t="s">
        <v>218</v>
      </c>
      <c r="F384" s="24" t="s">
        <v>173</v>
      </c>
      <c r="G384" s="15" t="n">
        <f aca="false">IFERROR(INDEX(Decisions!$K$2:$K$122,MATCH(E384,Decisions!$A$2:$A$122,0)),"")</f>
        <v>0</v>
      </c>
    </row>
    <row r="385" customFormat="false" ht="15" hidden="false" customHeight="false" outlineLevel="0" collapsed="false">
      <c r="A385" s="15" t="s">
        <v>974</v>
      </c>
      <c r="B385" s="15" t="s">
        <v>68</v>
      </c>
      <c r="C385" s="15" t="s">
        <v>968</v>
      </c>
      <c r="D385" s="15" t="s">
        <v>969</v>
      </c>
      <c r="E385" s="15" t="s">
        <v>118</v>
      </c>
      <c r="F385" s="23" t="s">
        <v>97</v>
      </c>
      <c r="G385" s="15" t="n">
        <f aca="false">IFERROR(INDEX(Decisions!$K$2:$K$122,MATCH(E385,Decisions!$A$2:$A$122,0)),"")</f>
        <v>0</v>
      </c>
    </row>
    <row r="386" customFormat="false" ht="15" hidden="false" customHeight="false" outlineLevel="0" collapsed="false">
      <c r="A386" s="15" t="s">
        <v>975</v>
      </c>
      <c r="B386" s="15" t="s">
        <v>68</v>
      </c>
      <c r="C386" s="15" t="s">
        <v>963</v>
      </c>
      <c r="D386" s="15" t="s">
        <v>976</v>
      </c>
      <c r="E386" s="15" t="s">
        <v>201</v>
      </c>
      <c r="F386" s="24" t="s">
        <v>173</v>
      </c>
      <c r="G386" s="15" t="n">
        <f aca="false">IFERROR(INDEX(Decisions!$K$2:$K$122,MATCH(E386,Decisions!$A$2:$A$122,0)),"")</f>
        <v>0</v>
      </c>
    </row>
    <row r="387" customFormat="false" ht="15" hidden="false" customHeight="false" outlineLevel="0" collapsed="false">
      <c r="A387" s="15" t="s">
        <v>977</v>
      </c>
      <c r="B387" s="15" t="s">
        <v>68</v>
      </c>
      <c r="C387" s="15" t="s">
        <v>963</v>
      </c>
      <c r="D387" s="15" t="s">
        <v>976</v>
      </c>
      <c r="E387" s="15" t="s">
        <v>206</v>
      </c>
      <c r="F387" s="24" t="s">
        <v>173</v>
      </c>
      <c r="G387" s="15" t="n">
        <f aca="false">IFERROR(INDEX(Decisions!$K$2:$K$122,MATCH(E387,Decisions!$A$2:$A$122,0)),"")</f>
        <v>0</v>
      </c>
    </row>
    <row r="388" customFormat="false" ht="15" hidden="false" customHeight="false" outlineLevel="0" collapsed="false">
      <c r="A388" s="15" t="s">
        <v>978</v>
      </c>
      <c r="B388" s="15" t="s">
        <v>68</v>
      </c>
      <c r="C388" s="15" t="s">
        <v>979</v>
      </c>
      <c r="D388" s="15" t="s">
        <v>980</v>
      </c>
      <c r="E388" s="15" t="s">
        <v>99</v>
      </c>
      <c r="F388" s="23" t="s">
        <v>97</v>
      </c>
      <c r="G388" s="15" t="n">
        <f aca="false">IFERROR(INDEX(Decisions!$K$2:$K$122,MATCH(E388,Decisions!$A$2:$A$122,0)),"")</f>
        <v>0</v>
      </c>
    </row>
    <row r="389" customFormat="false" ht="15" hidden="false" customHeight="false" outlineLevel="0" collapsed="false">
      <c r="A389" s="15" t="s">
        <v>981</v>
      </c>
      <c r="B389" s="15" t="s">
        <v>68</v>
      </c>
      <c r="C389" s="15" t="s">
        <v>979</v>
      </c>
      <c r="D389" s="15" t="s">
        <v>980</v>
      </c>
      <c r="E389" s="15" t="s">
        <v>108</v>
      </c>
      <c r="F389" s="23" t="s">
        <v>97</v>
      </c>
      <c r="G389" s="15" t="n">
        <f aca="false">IFERROR(INDEX(Decisions!$K$2:$K$122,MATCH(E389,Decisions!$A$2:$A$122,0)),"")</f>
        <v>0</v>
      </c>
    </row>
    <row r="390" customFormat="false" ht="15" hidden="false" customHeight="false" outlineLevel="0" collapsed="false">
      <c r="A390" s="15" t="s">
        <v>982</v>
      </c>
      <c r="B390" s="15" t="s">
        <v>68</v>
      </c>
      <c r="C390" s="15" t="s">
        <v>979</v>
      </c>
      <c r="D390" s="15" t="s">
        <v>980</v>
      </c>
      <c r="E390" s="15" t="s">
        <v>106</v>
      </c>
      <c r="F390" s="23" t="s">
        <v>97</v>
      </c>
      <c r="G390" s="15" t="n">
        <f aca="false">IFERROR(INDEX(Decisions!$K$2:$K$122,MATCH(E390,Decisions!$A$2:$A$122,0)),"")</f>
        <v>0</v>
      </c>
    </row>
    <row r="391" customFormat="false" ht="15" hidden="false" customHeight="false" outlineLevel="0" collapsed="false">
      <c r="A391" s="15" t="s">
        <v>983</v>
      </c>
      <c r="B391" s="15" t="s">
        <v>68</v>
      </c>
      <c r="C391" s="15" t="s">
        <v>979</v>
      </c>
      <c r="D391" s="15" t="s">
        <v>980</v>
      </c>
      <c r="E391" s="15" t="s">
        <v>194</v>
      </c>
      <c r="F391" s="24" t="s">
        <v>173</v>
      </c>
      <c r="G391" s="15" t="n">
        <f aca="false">IFERROR(INDEX(Decisions!$K$2:$K$122,MATCH(E391,Decisions!$A$2:$A$122,0)),"")</f>
        <v>0</v>
      </c>
    </row>
    <row r="392" customFormat="false" ht="15" hidden="false" customHeight="false" outlineLevel="0" collapsed="false">
      <c r="A392" s="15" t="s">
        <v>984</v>
      </c>
      <c r="B392" s="15" t="s">
        <v>68</v>
      </c>
      <c r="C392" s="15" t="s">
        <v>979</v>
      </c>
      <c r="D392" s="15" t="s">
        <v>980</v>
      </c>
      <c r="E392" s="15" t="s">
        <v>58</v>
      </c>
      <c r="F392" s="25" t="s">
        <v>26</v>
      </c>
      <c r="G392" s="15" t="str">
        <f aca="false">IFERROR(INDEX(Decisions!$K$2:$K$122,MATCH(E392,Decisions!$A$2:$A$122,0)),"")</f>
        <v>drop</v>
      </c>
    </row>
    <row r="393" customFormat="false" ht="15" hidden="false" customHeight="false" outlineLevel="0" collapsed="false">
      <c r="A393" s="15" t="s">
        <v>985</v>
      </c>
      <c r="B393" s="15" t="s">
        <v>68</v>
      </c>
      <c r="C393" s="15" t="s">
        <v>979</v>
      </c>
      <c r="D393" s="15" t="s">
        <v>980</v>
      </c>
      <c r="E393" s="15" t="s">
        <v>22</v>
      </c>
      <c r="F393" s="25" t="s">
        <v>26</v>
      </c>
      <c r="G393" s="15" t="str">
        <f aca="false">IFERROR(INDEX(Decisions!$K$2:$K$122,MATCH(E393,Decisions!$A$2:$A$122,0)),"")</f>
        <v>drop</v>
      </c>
    </row>
    <row r="394" customFormat="false" ht="15" hidden="false" customHeight="false" outlineLevel="0" collapsed="false">
      <c r="A394" s="15" t="s">
        <v>986</v>
      </c>
      <c r="B394" s="15" t="s">
        <v>68</v>
      </c>
      <c r="C394" s="15" t="s">
        <v>979</v>
      </c>
      <c r="D394" s="15" t="s">
        <v>987</v>
      </c>
      <c r="E394" s="15" t="s">
        <v>191</v>
      </c>
      <c r="F394" s="24" t="s">
        <v>173</v>
      </c>
      <c r="G394" s="15" t="n">
        <f aca="false">IFERROR(INDEX(Decisions!$K$2:$K$122,MATCH(E394,Decisions!$A$2:$A$122,0)),"")</f>
        <v>0</v>
      </c>
    </row>
    <row r="395" customFormat="false" ht="15" hidden="false" customHeight="false" outlineLevel="0" collapsed="false">
      <c r="A395" s="15" t="s">
        <v>988</v>
      </c>
      <c r="B395" s="15" t="s">
        <v>68</v>
      </c>
      <c r="C395" s="15" t="s">
        <v>979</v>
      </c>
      <c r="D395" s="15" t="s">
        <v>987</v>
      </c>
      <c r="E395" s="15" t="s">
        <v>99</v>
      </c>
      <c r="F395" s="23" t="s">
        <v>97</v>
      </c>
      <c r="G395" s="15" t="n">
        <f aca="false">IFERROR(INDEX(Decisions!$K$2:$K$122,MATCH(E395,Decisions!$A$2:$A$122,0)),"")</f>
        <v>0</v>
      </c>
    </row>
    <row r="396" customFormat="false" ht="15" hidden="false" customHeight="false" outlineLevel="0" collapsed="false">
      <c r="A396" s="15" t="s">
        <v>989</v>
      </c>
      <c r="B396" s="15" t="s">
        <v>68</v>
      </c>
      <c r="C396" s="15" t="s">
        <v>979</v>
      </c>
      <c r="D396" s="15" t="s">
        <v>987</v>
      </c>
      <c r="E396" s="15" t="s">
        <v>108</v>
      </c>
      <c r="F396" s="23" t="s">
        <v>97</v>
      </c>
      <c r="G396" s="15" t="n">
        <f aca="false">IFERROR(INDEX(Decisions!$K$2:$K$122,MATCH(E396,Decisions!$A$2:$A$122,0)),"")</f>
        <v>0</v>
      </c>
    </row>
    <row r="397" customFormat="false" ht="15" hidden="false" customHeight="false" outlineLevel="0" collapsed="false">
      <c r="A397" s="15" t="s">
        <v>990</v>
      </c>
      <c r="B397" s="15" t="s">
        <v>68</v>
      </c>
      <c r="C397" s="15" t="s">
        <v>979</v>
      </c>
      <c r="D397" s="15" t="s">
        <v>987</v>
      </c>
      <c r="E397" s="15" t="s">
        <v>106</v>
      </c>
      <c r="F397" s="23" t="s">
        <v>97</v>
      </c>
      <c r="G397" s="15" t="n">
        <f aca="false">IFERROR(INDEX(Decisions!$K$2:$K$122,MATCH(E397,Decisions!$A$2:$A$122,0)),"")</f>
        <v>0</v>
      </c>
    </row>
    <row r="398" customFormat="false" ht="15" hidden="false" customHeight="false" outlineLevel="0" collapsed="false">
      <c r="A398" s="15" t="s">
        <v>991</v>
      </c>
      <c r="B398" s="15" t="s">
        <v>68</v>
      </c>
      <c r="C398" s="15" t="s">
        <v>979</v>
      </c>
      <c r="D398" s="15" t="s">
        <v>987</v>
      </c>
      <c r="E398" s="15" t="s">
        <v>194</v>
      </c>
      <c r="F398" s="24" t="s">
        <v>173</v>
      </c>
      <c r="G398" s="15" t="n">
        <f aca="false">IFERROR(INDEX(Decisions!$K$2:$K$122,MATCH(E398,Decisions!$A$2:$A$122,0)),"")</f>
        <v>0</v>
      </c>
    </row>
    <row r="399" customFormat="false" ht="15" hidden="false" customHeight="false" outlineLevel="0" collapsed="false">
      <c r="A399" s="15" t="s">
        <v>992</v>
      </c>
      <c r="B399" s="15" t="s">
        <v>68</v>
      </c>
      <c r="C399" s="15" t="s">
        <v>979</v>
      </c>
      <c r="D399" s="15" t="s">
        <v>987</v>
      </c>
      <c r="E399" s="15" t="s">
        <v>58</v>
      </c>
      <c r="F399" s="25" t="s">
        <v>26</v>
      </c>
      <c r="G399" s="15" t="str">
        <f aca="false">IFERROR(INDEX(Decisions!$K$2:$K$122,MATCH(E399,Decisions!$A$2:$A$122,0)),"")</f>
        <v>drop</v>
      </c>
    </row>
    <row r="400" customFormat="false" ht="15" hidden="false" customHeight="false" outlineLevel="0" collapsed="false">
      <c r="A400" s="15" t="s">
        <v>993</v>
      </c>
      <c r="B400" s="15" t="s">
        <v>68</v>
      </c>
      <c r="C400" s="15" t="s">
        <v>979</v>
      </c>
      <c r="D400" s="15" t="s">
        <v>987</v>
      </c>
      <c r="E400" s="15" t="s">
        <v>22</v>
      </c>
      <c r="F400" s="25" t="s">
        <v>26</v>
      </c>
      <c r="G400" s="15" t="str">
        <f aca="false">IFERROR(INDEX(Decisions!$K$2:$K$122,MATCH(E400,Decisions!$A$2:$A$122,0)),"")</f>
        <v>drop</v>
      </c>
    </row>
    <row r="401" customFormat="false" ht="15" hidden="false" customHeight="false" outlineLevel="0" collapsed="false">
      <c r="A401" s="15" t="s">
        <v>994</v>
      </c>
      <c r="B401" s="15" t="s">
        <v>68</v>
      </c>
      <c r="C401" s="15" t="s">
        <v>995</v>
      </c>
      <c r="D401" s="15" t="s">
        <v>996</v>
      </c>
      <c r="E401" s="15" t="s">
        <v>94</v>
      </c>
      <c r="F401" s="23" t="s">
        <v>97</v>
      </c>
      <c r="G401" s="15" t="n">
        <f aca="false">IFERROR(INDEX(Decisions!$K$2:$K$122,MATCH(E401,Decisions!$A$2:$A$122,0)),"")</f>
        <v>0</v>
      </c>
    </row>
    <row r="402" customFormat="false" ht="15" hidden="false" customHeight="false" outlineLevel="0" collapsed="false">
      <c r="A402" s="15" t="s">
        <v>997</v>
      </c>
      <c r="B402" s="15" t="s">
        <v>68</v>
      </c>
      <c r="C402" s="15" t="s">
        <v>995</v>
      </c>
      <c r="D402" s="15" t="s">
        <v>996</v>
      </c>
      <c r="E402" s="15" t="s">
        <v>183</v>
      </c>
      <c r="F402" s="24" t="s">
        <v>173</v>
      </c>
      <c r="G402" s="15" t="n">
        <f aca="false">IFERROR(INDEX(Decisions!$K$2:$K$122,MATCH(E402,Decisions!$A$2:$A$122,0)),"")</f>
        <v>0</v>
      </c>
    </row>
    <row r="403" customFormat="false" ht="15" hidden="false" customHeight="false" outlineLevel="0" collapsed="false">
      <c r="A403" s="15" t="s">
        <v>998</v>
      </c>
      <c r="B403" s="15" t="s">
        <v>68</v>
      </c>
      <c r="C403" s="15" t="s">
        <v>995</v>
      </c>
      <c r="D403" s="15" t="s">
        <v>598</v>
      </c>
      <c r="E403" s="15" t="s">
        <v>110</v>
      </c>
      <c r="F403" s="23" t="s">
        <v>97</v>
      </c>
      <c r="G403" s="15" t="n">
        <f aca="false">IFERROR(INDEX(Decisions!$K$2:$K$122,MATCH(E403,Decisions!$A$2:$A$122,0)),"")</f>
        <v>0</v>
      </c>
    </row>
    <row r="404" customFormat="false" ht="15" hidden="false" customHeight="false" outlineLevel="0" collapsed="false">
      <c r="A404" s="15" t="s">
        <v>999</v>
      </c>
      <c r="B404" s="15" t="s">
        <v>68</v>
      </c>
      <c r="C404" s="15" t="s">
        <v>995</v>
      </c>
      <c r="D404" s="15" t="s">
        <v>598</v>
      </c>
      <c r="E404" s="15" t="s">
        <v>198</v>
      </c>
      <c r="F404" s="24" t="s">
        <v>173</v>
      </c>
      <c r="G404" s="15" t="n">
        <f aca="false">IFERROR(INDEX(Decisions!$K$2:$K$122,MATCH(E404,Decisions!$A$2:$A$122,0)),"")</f>
        <v>0</v>
      </c>
    </row>
    <row r="405" customFormat="false" ht="15" hidden="false" customHeight="false" outlineLevel="0" collapsed="false">
      <c r="A405" s="15" t="s">
        <v>1000</v>
      </c>
      <c r="B405" s="15" t="s">
        <v>68</v>
      </c>
      <c r="C405" s="15" t="s">
        <v>1001</v>
      </c>
      <c r="D405" s="15" t="s">
        <v>1002</v>
      </c>
      <c r="E405" s="15" t="s">
        <v>132</v>
      </c>
      <c r="F405" s="23" t="s">
        <v>97</v>
      </c>
      <c r="G405" s="15" t="n">
        <f aca="false">IFERROR(INDEX(Decisions!$K$2:$K$122,MATCH(E405,Decisions!$A$2:$A$122,0)),"")</f>
        <v>0</v>
      </c>
    </row>
    <row r="406" customFormat="false" ht="15" hidden="false" customHeight="false" outlineLevel="0" collapsed="false">
      <c r="A406" s="15" t="s">
        <v>1003</v>
      </c>
      <c r="B406" s="15" t="s">
        <v>68</v>
      </c>
      <c r="C406" s="15" t="s">
        <v>1001</v>
      </c>
      <c r="D406" s="15" t="s">
        <v>1004</v>
      </c>
      <c r="E406" s="15" t="s">
        <v>294</v>
      </c>
      <c r="F406" s="24" t="s">
        <v>173</v>
      </c>
      <c r="G406" s="15" t="n">
        <f aca="false">IFERROR(INDEX(Decisions!$K$2:$K$122,MATCH(E406,Decisions!$A$2:$A$122,0)),"")</f>
        <v>0</v>
      </c>
    </row>
    <row r="407" customFormat="false" ht="15" hidden="false" customHeight="false" outlineLevel="0" collapsed="false">
      <c r="A407" s="15" t="s">
        <v>1005</v>
      </c>
      <c r="B407" s="15" t="s">
        <v>68</v>
      </c>
      <c r="C407" s="15" t="s">
        <v>1001</v>
      </c>
      <c r="D407" s="15" t="s">
        <v>1006</v>
      </c>
      <c r="E407" s="15" t="s">
        <v>294</v>
      </c>
      <c r="F407" s="24" t="s">
        <v>173</v>
      </c>
      <c r="G407" s="15" t="n">
        <f aca="false">IFERROR(INDEX(Decisions!$K$2:$K$122,MATCH(E407,Decisions!$A$2:$A$122,0)),"")</f>
        <v>0</v>
      </c>
    </row>
    <row r="408" customFormat="false" ht="15" hidden="false" customHeight="false" outlineLevel="0" collapsed="false">
      <c r="A408" s="15" t="s">
        <v>1007</v>
      </c>
      <c r="B408" s="15" t="s">
        <v>68</v>
      </c>
      <c r="C408" s="15" t="s">
        <v>1008</v>
      </c>
      <c r="D408" s="15" t="s">
        <v>1009</v>
      </c>
      <c r="E408" s="15" t="s">
        <v>170</v>
      </c>
      <c r="F408" s="24" t="s">
        <v>173</v>
      </c>
      <c r="G408" s="15" t="n">
        <f aca="false">IFERROR(INDEX(Decisions!$K$2:$K$122,MATCH(E408,Decisions!$A$2:$A$122,0)),"")</f>
        <v>0</v>
      </c>
    </row>
    <row r="409" customFormat="false" ht="15" hidden="false" customHeight="false" outlineLevel="0" collapsed="false">
      <c r="A409" s="15" t="s">
        <v>1010</v>
      </c>
      <c r="B409" s="15" t="s">
        <v>68</v>
      </c>
      <c r="C409" s="15" t="s">
        <v>1011</v>
      </c>
      <c r="D409" s="15" t="s">
        <v>1012</v>
      </c>
      <c r="E409" s="15" t="s">
        <v>101</v>
      </c>
      <c r="F409" s="23" t="s">
        <v>97</v>
      </c>
      <c r="G409" s="15" t="n">
        <f aca="false">IFERROR(INDEX(Decisions!$K$2:$K$122,MATCH(E409,Decisions!$A$2:$A$122,0)),"")</f>
        <v>0</v>
      </c>
    </row>
    <row r="410" customFormat="false" ht="15" hidden="false" customHeight="false" outlineLevel="0" collapsed="false">
      <c r="A410" s="15" t="s">
        <v>1013</v>
      </c>
      <c r="B410" s="15" t="s">
        <v>68</v>
      </c>
      <c r="C410" s="15" t="s">
        <v>1011</v>
      </c>
      <c r="D410" s="15" t="s">
        <v>1012</v>
      </c>
      <c r="E410" s="15" t="s">
        <v>104</v>
      </c>
      <c r="F410" s="23" t="s">
        <v>97</v>
      </c>
      <c r="G410" s="15" t="n">
        <f aca="false">IFERROR(INDEX(Decisions!$K$2:$K$122,MATCH(E410,Decisions!$A$2:$A$122,0)),"")</f>
        <v>0</v>
      </c>
    </row>
    <row r="411" customFormat="false" ht="15" hidden="false" customHeight="false" outlineLevel="0" collapsed="false">
      <c r="A411" s="15" t="s">
        <v>1014</v>
      </c>
      <c r="B411" s="15" t="s">
        <v>68</v>
      </c>
      <c r="C411" s="15" t="s">
        <v>1011</v>
      </c>
      <c r="D411" s="15" t="s">
        <v>1012</v>
      </c>
      <c r="E411" s="15" t="s">
        <v>201</v>
      </c>
      <c r="F411" s="24" t="s">
        <v>173</v>
      </c>
      <c r="G411" s="15" t="n">
        <f aca="false">IFERROR(INDEX(Decisions!$K$2:$K$122,MATCH(E411,Decisions!$A$2:$A$122,0)),"")</f>
        <v>0</v>
      </c>
    </row>
    <row r="412" customFormat="false" ht="15" hidden="false" customHeight="false" outlineLevel="0" collapsed="false">
      <c r="A412" s="15" t="s">
        <v>1015</v>
      </c>
      <c r="B412" s="15" t="s">
        <v>68</v>
      </c>
      <c r="C412" s="15" t="s">
        <v>1011</v>
      </c>
      <c r="D412" s="15" t="s">
        <v>1012</v>
      </c>
      <c r="E412" s="15" t="s">
        <v>209</v>
      </c>
      <c r="F412" s="24" t="s">
        <v>173</v>
      </c>
      <c r="G412" s="15" t="n">
        <f aca="false">IFERROR(INDEX(Decisions!$K$2:$K$122,MATCH(E412,Decisions!$A$2:$A$122,0)),"")</f>
        <v>0</v>
      </c>
    </row>
    <row r="413" customFormat="false" ht="15" hidden="false" customHeight="false" outlineLevel="0" collapsed="false">
      <c r="A413" s="15" t="s">
        <v>1016</v>
      </c>
      <c r="B413" s="15" t="s">
        <v>68</v>
      </c>
      <c r="C413" s="15" t="s">
        <v>1011</v>
      </c>
      <c r="D413" s="15" t="s">
        <v>1012</v>
      </c>
      <c r="E413" s="15" t="s">
        <v>206</v>
      </c>
      <c r="F413" s="24" t="s">
        <v>173</v>
      </c>
      <c r="G413" s="15" t="n">
        <f aca="false">IFERROR(INDEX(Decisions!$K$2:$K$122,MATCH(E413,Decisions!$A$2:$A$122,0)),"")</f>
        <v>0</v>
      </c>
    </row>
    <row r="414" customFormat="false" ht="15" hidden="false" customHeight="false" outlineLevel="0" collapsed="false">
      <c r="A414" s="15" t="s">
        <v>1017</v>
      </c>
      <c r="B414" s="15" t="s">
        <v>68</v>
      </c>
      <c r="C414" s="15" t="s">
        <v>1011</v>
      </c>
      <c r="D414" s="15" t="s">
        <v>1018</v>
      </c>
      <c r="E414" s="15" t="s">
        <v>101</v>
      </c>
      <c r="F414" s="23" t="s">
        <v>97</v>
      </c>
      <c r="G414" s="15" t="n">
        <f aca="false">IFERROR(INDEX(Decisions!$K$2:$K$122,MATCH(E414,Decisions!$A$2:$A$122,0)),"")</f>
        <v>0</v>
      </c>
    </row>
    <row r="415" customFormat="false" ht="15" hidden="false" customHeight="false" outlineLevel="0" collapsed="false">
      <c r="A415" s="15" t="s">
        <v>1019</v>
      </c>
      <c r="B415" s="15" t="s">
        <v>68</v>
      </c>
      <c r="C415" s="15" t="s">
        <v>1011</v>
      </c>
      <c r="D415" s="15" t="s">
        <v>1018</v>
      </c>
      <c r="E415" s="15" t="s">
        <v>104</v>
      </c>
      <c r="F415" s="23" t="s">
        <v>97</v>
      </c>
      <c r="G415" s="15" t="n">
        <f aca="false">IFERROR(INDEX(Decisions!$K$2:$K$122,MATCH(E415,Decisions!$A$2:$A$122,0)),"")</f>
        <v>0</v>
      </c>
    </row>
    <row r="416" customFormat="false" ht="15" hidden="false" customHeight="false" outlineLevel="0" collapsed="false">
      <c r="A416" s="15" t="s">
        <v>1020</v>
      </c>
      <c r="B416" s="15" t="s">
        <v>68</v>
      </c>
      <c r="C416" s="15" t="s">
        <v>1011</v>
      </c>
      <c r="D416" s="15" t="s">
        <v>1018</v>
      </c>
      <c r="E416" s="15" t="s">
        <v>201</v>
      </c>
      <c r="F416" s="24" t="s">
        <v>173</v>
      </c>
      <c r="G416" s="15" t="n">
        <f aca="false">IFERROR(INDEX(Decisions!$K$2:$K$122,MATCH(E416,Decisions!$A$2:$A$122,0)),"")</f>
        <v>0</v>
      </c>
    </row>
    <row r="417" customFormat="false" ht="15" hidden="false" customHeight="false" outlineLevel="0" collapsed="false">
      <c r="A417" s="15" t="s">
        <v>1021</v>
      </c>
      <c r="B417" s="15" t="s">
        <v>68</v>
      </c>
      <c r="C417" s="15" t="s">
        <v>1011</v>
      </c>
      <c r="D417" s="15" t="s">
        <v>1018</v>
      </c>
      <c r="E417" s="15" t="s">
        <v>209</v>
      </c>
      <c r="F417" s="24" t="s">
        <v>173</v>
      </c>
      <c r="G417" s="15" t="n">
        <f aca="false">IFERROR(INDEX(Decisions!$K$2:$K$122,MATCH(E417,Decisions!$A$2:$A$122,0)),"")</f>
        <v>0</v>
      </c>
    </row>
    <row r="418" customFormat="false" ht="15" hidden="false" customHeight="false" outlineLevel="0" collapsed="false">
      <c r="A418" s="15" t="s">
        <v>1022</v>
      </c>
      <c r="B418" s="15" t="s">
        <v>68</v>
      </c>
      <c r="C418" s="15" t="s">
        <v>1011</v>
      </c>
      <c r="D418" s="15" t="s">
        <v>1018</v>
      </c>
      <c r="E418" s="15" t="s">
        <v>206</v>
      </c>
      <c r="F418" s="24" t="s">
        <v>173</v>
      </c>
      <c r="G418" s="15" t="n">
        <f aca="false">IFERROR(INDEX(Decisions!$K$2:$K$122,MATCH(E418,Decisions!$A$2:$A$122,0)),"")</f>
        <v>0</v>
      </c>
    </row>
    <row r="419" customFormat="false" ht="15" hidden="false" customHeight="false" outlineLevel="0" collapsed="false">
      <c r="A419" s="15" t="s">
        <v>1023</v>
      </c>
      <c r="B419" s="15" t="s">
        <v>68</v>
      </c>
      <c r="C419" s="15" t="s">
        <v>1024</v>
      </c>
      <c r="D419" s="15" t="s">
        <v>1025</v>
      </c>
      <c r="E419" s="15" t="s">
        <v>94</v>
      </c>
      <c r="F419" s="23" t="s">
        <v>97</v>
      </c>
      <c r="G419" s="15" t="n">
        <f aca="false">IFERROR(INDEX(Decisions!$K$2:$K$122,MATCH(E419,Decisions!$A$2:$A$122,0)),"")</f>
        <v>0</v>
      </c>
    </row>
    <row r="420" customFormat="false" ht="15" hidden="false" customHeight="false" outlineLevel="0" collapsed="false">
      <c r="A420" s="15" t="s">
        <v>1026</v>
      </c>
      <c r="B420" s="15" t="s">
        <v>68</v>
      </c>
      <c r="C420" s="15" t="s">
        <v>1024</v>
      </c>
      <c r="D420" s="15" t="s">
        <v>598</v>
      </c>
      <c r="E420" s="15" t="s">
        <v>110</v>
      </c>
      <c r="F420" s="23" t="s">
        <v>97</v>
      </c>
      <c r="G420" s="15" t="n">
        <f aca="false">IFERROR(INDEX(Decisions!$K$2:$K$122,MATCH(E420,Decisions!$A$2:$A$122,0)),"")</f>
        <v>0</v>
      </c>
    </row>
    <row r="421" customFormat="false" ht="15" hidden="false" customHeight="false" outlineLevel="0" collapsed="false">
      <c r="A421" s="15" t="s">
        <v>1027</v>
      </c>
      <c r="B421" s="15" t="s">
        <v>68</v>
      </c>
      <c r="C421" s="15" t="s">
        <v>1024</v>
      </c>
      <c r="D421" s="15" t="s">
        <v>598</v>
      </c>
      <c r="E421" s="15" t="s">
        <v>198</v>
      </c>
      <c r="F421" s="24" t="s">
        <v>173</v>
      </c>
      <c r="G421" s="15" t="n">
        <f aca="false">IFERROR(INDEX(Decisions!$K$2:$K$122,MATCH(E421,Decisions!$A$2:$A$122,0)),"")</f>
        <v>0</v>
      </c>
    </row>
    <row r="422" customFormat="false" ht="15" hidden="false" customHeight="false" outlineLevel="0" collapsed="false">
      <c r="A422" s="15" t="s">
        <v>1028</v>
      </c>
      <c r="B422" s="15" t="s">
        <v>68</v>
      </c>
      <c r="C422" s="15" t="s">
        <v>1029</v>
      </c>
      <c r="D422" s="15" t="s">
        <v>1030</v>
      </c>
      <c r="E422" s="15" t="s">
        <v>235</v>
      </c>
      <c r="F422" s="24" t="s">
        <v>173</v>
      </c>
      <c r="G422" s="15" t="n">
        <f aca="false">IFERROR(INDEX(Decisions!$K$2:$K$122,MATCH(E422,Decisions!$A$2:$A$122,0)),"")</f>
        <v>0</v>
      </c>
    </row>
    <row r="423" customFormat="false" ht="15" hidden="false" customHeight="false" outlineLevel="0" collapsed="false">
      <c r="A423" s="15" t="s">
        <v>1031</v>
      </c>
      <c r="B423" s="15" t="s">
        <v>68</v>
      </c>
      <c r="C423" s="15" t="s">
        <v>1029</v>
      </c>
      <c r="D423" s="15" t="s">
        <v>1030</v>
      </c>
      <c r="E423" s="15" t="s">
        <v>228</v>
      </c>
      <c r="F423" s="24" t="s">
        <v>173</v>
      </c>
      <c r="G423" s="15" t="n">
        <f aca="false">IFERROR(INDEX(Decisions!$K$2:$K$122,MATCH(E423,Decisions!$A$2:$A$122,0)),"")</f>
        <v>0</v>
      </c>
    </row>
    <row r="424" customFormat="false" ht="15" hidden="false" customHeight="false" outlineLevel="0" collapsed="false">
      <c r="A424" s="15" t="s">
        <v>1032</v>
      </c>
      <c r="B424" s="15" t="s">
        <v>68</v>
      </c>
      <c r="C424" s="15" t="s">
        <v>1029</v>
      </c>
      <c r="D424" s="15" t="s">
        <v>1030</v>
      </c>
      <c r="E424" s="15" t="s">
        <v>212</v>
      </c>
      <c r="F424" s="24" t="s">
        <v>173</v>
      </c>
      <c r="G424" s="15" t="n">
        <f aca="false">IFERROR(INDEX(Decisions!$K$2:$K$122,MATCH(E424,Decisions!$A$2:$A$122,0)),"")</f>
        <v>0</v>
      </c>
    </row>
    <row r="425" customFormat="false" ht="15" hidden="false" customHeight="false" outlineLevel="0" collapsed="false">
      <c r="A425" s="15" t="s">
        <v>1033</v>
      </c>
      <c r="B425" s="15" t="s">
        <v>68</v>
      </c>
      <c r="C425" s="15" t="s">
        <v>1029</v>
      </c>
      <c r="D425" s="15" t="s">
        <v>1030</v>
      </c>
      <c r="E425" s="15" t="s">
        <v>187</v>
      </c>
      <c r="F425" s="24" t="s">
        <v>173</v>
      </c>
      <c r="G425" s="15" t="n">
        <f aca="false">IFERROR(INDEX(Decisions!$K$2:$K$122,MATCH(E425,Decisions!$A$2:$A$122,0)),"")</f>
        <v>0</v>
      </c>
    </row>
    <row r="426" customFormat="false" ht="15" hidden="false" customHeight="false" outlineLevel="0" collapsed="false">
      <c r="A426" s="15" t="s">
        <v>1034</v>
      </c>
      <c r="B426" s="15" t="s">
        <v>68</v>
      </c>
      <c r="C426" s="15" t="s">
        <v>1029</v>
      </c>
      <c r="D426" s="15" t="s">
        <v>1030</v>
      </c>
      <c r="E426" s="15" t="s">
        <v>170</v>
      </c>
      <c r="F426" s="24" t="s">
        <v>173</v>
      </c>
      <c r="G426" s="15" t="n">
        <f aca="false">IFERROR(INDEX(Decisions!$K$2:$K$122,MATCH(E426,Decisions!$A$2:$A$122,0)),"")</f>
        <v>0</v>
      </c>
    </row>
    <row r="427" customFormat="false" ht="15" hidden="false" customHeight="false" outlineLevel="0" collapsed="false">
      <c r="A427" s="15" t="s">
        <v>1035</v>
      </c>
      <c r="B427" s="15" t="s">
        <v>68</v>
      </c>
      <c r="C427" s="15" t="s">
        <v>1029</v>
      </c>
      <c r="D427" s="15" t="s">
        <v>1036</v>
      </c>
      <c r="E427" s="15" t="s">
        <v>177</v>
      </c>
      <c r="F427" s="24" t="s">
        <v>173</v>
      </c>
      <c r="G427" s="15" t="n">
        <f aca="false">IFERROR(INDEX(Decisions!$K$2:$K$122,MATCH(E427,Decisions!$A$2:$A$122,0)),"")</f>
        <v>0</v>
      </c>
    </row>
    <row r="428" customFormat="false" ht="15" hidden="false" customHeight="false" outlineLevel="0" collapsed="false">
      <c r="A428" s="15" t="s">
        <v>1037</v>
      </c>
      <c r="B428" s="15" t="s">
        <v>68</v>
      </c>
      <c r="C428" s="15" t="s">
        <v>1029</v>
      </c>
      <c r="D428" s="15" t="s">
        <v>1038</v>
      </c>
      <c r="E428" s="15" t="s">
        <v>187</v>
      </c>
      <c r="F428" s="24" t="s">
        <v>173</v>
      </c>
      <c r="G428" s="15" t="n">
        <f aca="false">IFERROR(INDEX(Decisions!$K$2:$K$122,MATCH(E428,Decisions!$A$2:$A$122,0)),"")</f>
        <v>0</v>
      </c>
    </row>
    <row r="429" customFormat="false" ht="15" hidden="false" customHeight="false" outlineLevel="0" collapsed="false">
      <c r="A429" s="15" t="s">
        <v>1039</v>
      </c>
      <c r="B429" s="15" t="s">
        <v>68</v>
      </c>
      <c r="C429" s="15" t="s">
        <v>1029</v>
      </c>
      <c r="D429" s="15" t="s">
        <v>1038</v>
      </c>
      <c r="E429" s="15" t="s">
        <v>170</v>
      </c>
      <c r="F429" s="24" t="s">
        <v>173</v>
      </c>
      <c r="G429" s="15" t="n">
        <f aca="false">IFERROR(INDEX(Decisions!$K$2:$K$122,MATCH(E429,Decisions!$A$2:$A$122,0)),"")</f>
        <v>0</v>
      </c>
    </row>
    <row r="430" customFormat="false" ht="15" hidden="false" customHeight="false" outlineLevel="0" collapsed="false">
      <c r="A430" s="15" t="s">
        <v>1040</v>
      </c>
      <c r="B430" s="15" t="s">
        <v>68</v>
      </c>
      <c r="C430" s="15" t="s">
        <v>1041</v>
      </c>
      <c r="D430" s="15" t="s">
        <v>1042</v>
      </c>
      <c r="E430" s="15" t="s">
        <v>101</v>
      </c>
      <c r="F430" s="23" t="s">
        <v>97</v>
      </c>
      <c r="G430" s="15" t="n">
        <f aca="false">IFERROR(INDEX(Decisions!$K$2:$K$122,MATCH(E430,Decisions!$A$2:$A$122,0)),"")</f>
        <v>0</v>
      </c>
    </row>
    <row r="431" customFormat="false" ht="15" hidden="false" customHeight="false" outlineLevel="0" collapsed="false">
      <c r="A431" s="15" t="s">
        <v>1043</v>
      </c>
      <c r="B431" s="15" t="s">
        <v>68</v>
      </c>
      <c r="C431" s="15" t="s">
        <v>1041</v>
      </c>
      <c r="D431" s="15" t="s">
        <v>1042</v>
      </c>
      <c r="E431" s="15" t="s">
        <v>104</v>
      </c>
      <c r="F431" s="23" t="s">
        <v>97</v>
      </c>
      <c r="G431" s="15" t="n">
        <f aca="false">IFERROR(INDEX(Decisions!$K$2:$K$122,MATCH(E431,Decisions!$A$2:$A$122,0)),"")</f>
        <v>0</v>
      </c>
    </row>
    <row r="432" customFormat="false" ht="15" hidden="false" customHeight="false" outlineLevel="0" collapsed="false">
      <c r="A432" s="15" t="s">
        <v>1044</v>
      </c>
      <c r="B432" s="15" t="s">
        <v>68</v>
      </c>
      <c r="C432" s="15" t="s">
        <v>1041</v>
      </c>
      <c r="D432" s="15" t="s">
        <v>1042</v>
      </c>
      <c r="E432" s="15" t="s">
        <v>209</v>
      </c>
      <c r="F432" s="24" t="s">
        <v>173</v>
      </c>
      <c r="G432" s="15" t="n">
        <f aca="false">IFERROR(INDEX(Decisions!$K$2:$K$122,MATCH(E432,Decisions!$A$2:$A$122,0)),"")</f>
        <v>0</v>
      </c>
    </row>
    <row r="433" customFormat="false" ht="15" hidden="false" customHeight="false" outlineLevel="0" collapsed="false">
      <c r="A433" s="15" t="s">
        <v>1045</v>
      </c>
      <c r="B433" s="15" t="s">
        <v>68</v>
      </c>
      <c r="C433" s="15" t="s">
        <v>1041</v>
      </c>
      <c r="D433" s="15" t="s">
        <v>1042</v>
      </c>
      <c r="E433" s="15" t="s">
        <v>206</v>
      </c>
      <c r="F433" s="24" t="s">
        <v>173</v>
      </c>
      <c r="G433" s="15" t="n">
        <f aca="false">IFERROR(INDEX(Decisions!$K$2:$K$122,MATCH(E433,Decisions!$A$2:$A$122,0)),"")</f>
        <v>0</v>
      </c>
    </row>
    <row r="434" customFormat="false" ht="15" hidden="false" customHeight="false" outlineLevel="0" collapsed="false">
      <c r="A434" s="15" t="s">
        <v>1046</v>
      </c>
      <c r="B434" s="15" t="s">
        <v>68</v>
      </c>
      <c r="C434" s="15" t="s">
        <v>1041</v>
      </c>
      <c r="D434" s="15" t="s">
        <v>1047</v>
      </c>
      <c r="E434" s="15" t="s">
        <v>94</v>
      </c>
      <c r="F434" s="23" t="s">
        <v>97</v>
      </c>
      <c r="G434" s="15" t="n">
        <f aca="false">IFERROR(INDEX(Decisions!$K$2:$K$122,MATCH(E434,Decisions!$A$2:$A$122,0)),"")</f>
        <v>0</v>
      </c>
    </row>
    <row r="435" customFormat="false" ht="15" hidden="false" customHeight="false" outlineLevel="0" collapsed="false">
      <c r="A435" s="15" t="s">
        <v>1048</v>
      </c>
      <c r="B435" s="15" t="s">
        <v>68</v>
      </c>
      <c r="C435" s="15" t="s">
        <v>1041</v>
      </c>
      <c r="D435" s="15" t="s">
        <v>1047</v>
      </c>
      <c r="E435" s="15" t="s">
        <v>183</v>
      </c>
      <c r="F435" s="24" t="s">
        <v>173</v>
      </c>
      <c r="G435" s="15" t="n">
        <f aca="false">IFERROR(INDEX(Decisions!$K$2:$K$122,MATCH(E435,Decisions!$A$2:$A$122,0)),"")</f>
        <v>0</v>
      </c>
    </row>
    <row r="436" customFormat="false" ht="15" hidden="false" customHeight="false" outlineLevel="0" collapsed="false">
      <c r="A436" s="15" t="s">
        <v>1049</v>
      </c>
      <c r="B436" s="15" t="s">
        <v>68</v>
      </c>
      <c r="C436" s="15" t="s">
        <v>1050</v>
      </c>
      <c r="D436" s="15" t="s">
        <v>1051</v>
      </c>
      <c r="E436" s="15" t="s">
        <v>94</v>
      </c>
      <c r="F436" s="23" t="s">
        <v>97</v>
      </c>
      <c r="G436" s="15" t="n">
        <f aca="false">IFERROR(INDEX(Decisions!$K$2:$K$122,MATCH(E436,Decisions!$A$2:$A$122,0)),"")</f>
        <v>0</v>
      </c>
    </row>
    <row r="437" customFormat="false" ht="15" hidden="false" customHeight="false" outlineLevel="0" collapsed="false">
      <c r="A437" s="15" t="s">
        <v>1052</v>
      </c>
      <c r="B437" s="15" t="s">
        <v>68</v>
      </c>
      <c r="C437" s="15" t="s">
        <v>1050</v>
      </c>
      <c r="D437" s="15" t="s">
        <v>1051</v>
      </c>
      <c r="E437" s="15" t="s">
        <v>183</v>
      </c>
      <c r="F437" s="24" t="s">
        <v>173</v>
      </c>
      <c r="G437" s="15" t="n">
        <f aca="false">IFERROR(INDEX(Decisions!$K$2:$K$122,MATCH(E437,Decisions!$A$2:$A$122,0)),"")</f>
        <v>0</v>
      </c>
    </row>
    <row r="438" customFormat="false" ht="15" hidden="false" customHeight="false" outlineLevel="0" collapsed="false">
      <c r="A438" s="15" t="s">
        <v>1053</v>
      </c>
      <c r="B438" s="15" t="s">
        <v>68</v>
      </c>
      <c r="C438" s="15" t="s">
        <v>1054</v>
      </c>
      <c r="D438" s="15" t="s">
        <v>1055</v>
      </c>
      <c r="E438" s="15" t="s">
        <v>340</v>
      </c>
      <c r="F438" s="24" t="s">
        <v>173</v>
      </c>
      <c r="G438" s="15" t="n">
        <f aca="false">IFERROR(INDEX(Decisions!$K$2:$K$122,MATCH(E438,Decisions!$A$2:$A$122,0)),"")</f>
        <v>0</v>
      </c>
    </row>
    <row r="439" customFormat="false" ht="15" hidden="false" customHeight="false" outlineLevel="0" collapsed="false">
      <c r="A439" s="15" t="s">
        <v>1056</v>
      </c>
      <c r="B439" s="15" t="s">
        <v>68</v>
      </c>
      <c r="C439" s="15" t="s">
        <v>1054</v>
      </c>
      <c r="D439" s="15" t="s">
        <v>1055</v>
      </c>
      <c r="E439" s="15" t="s">
        <v>343</v>
      </c>
      <c r="F439" s="24" t="s">
        <v>173</v>
      </c>
      <c r="G439" s="15" t="n">
        <f aca="false">IFERROR(INDEX(Decisions!$K$2:$K$122,MATCH(E439,Decisions!$A$2:$A$122,0)),"")</f>
        <v>0</v>
      </c>
    </row>
    <row r="440" customFormat="false" ht="15" hidden="false" customHeight="false" outlineLevel="0" collapsed="false">
      <c r="A440" s="15" t="s">
        <v>1057</v>
      </c>
      <c r="B440" s="15" t="s">
        <v>68</v>
      </c>
      <c r="C440" s="15" t="s">
        <v>1050</v>
      </c>
      <c r="D440" s="15" t="s">
        <v>596</v>
      </c>
      <c r="E440" s="15" t="s">
        <v>222</v>
      </c>
      <c r="F440" s="24" t="s">
        <v>173</v>
      </c>
      <c r="G440" s="15" t="n">
        <f aca="false">IFERROR(INDEX(Decisions!$K$2:$K$122,MATCH(E440,Decisions!$A$2:$A$122,0)),"")</f>
        <v>0</v>
      </c>
    </row>
    <row r="441" customFormat="false" ht="15" hidden="false" customHeight="false" outlineLevel="0" collapsed="false">
      <c r="A441" s="15" t="s">
        <v>1058</v>
      </c>
      <c r="B441" s="15" t="s">
        <v>68</v>
      </c>
      <c r="C441" s="15" t="s">
        <v>1050</v>
      </c>
      <c r="D441" s="15" t="s">
        <v>598</v>
      </c>
      <c r="E441" s="15" t="s">
        <v>110</v>
      </c>
      <c r="F441" s="23" t="s">
        <v>97</v>
      </c>
      <c r="G441" s="15" t="n">
        <f aca="false">IFERROR(INDEX(Decisions!$K$2:$K$122,MATCH(E441,Decisions!$A$2:$A$122,0)),"")</f>
        <v>0</v>
      </c>
    </row>
    <row r="442" customFormat="false" ht="15" hidden="false" customHeight="false" outlineLevel="0" collapsed="false">
      <c r="A442" s="15" t="s">
        <v>1059</v>
      </c>
      <c r="B442" s="15" t="s">
        <v>68</v>
      </c>
      <c r="C442" s="15" t="s">
        <v>1050</v>
      </c>
      <c r="D442" s="15" t="s">
        <v>598</v>
      </c>
      <c r="E442" s="15" t="s">
        <v>198</v>
      </c>
      <c r="F442" s="24" t="s">
        <v>173</v>
      </c>
      <c r="G442" s="15" t="n">
        <f aca="false">IFERROR(INDEX(Decisions!$K$2:$K$122,MATCH(E442,Decisions!$A$2:$A$122,0)),"")</f>
        <v>0</v>
      </c>
    </row>
    <row r="443" customFormat="false" ht="15" hidden="false" customHeight="false" outlineLevel="0" collapsed="false">
      <c r="A443" s="15" t="s">
        <v>1060</v>
      </c>
      <c r="B443" s="15" t="s">
        <v>68</v>
      </c>
      <c r="C443" s="15" t="s">
        <v>1061</v>
      </c>
      <c r="D443" s="15" t="s">
        <v>1062</v>
      </c>
      <c r="E443" s="15" t="s">
        <v>70</v>
      </c>
      <c r="F443" s="25" t="s">
        <v>26</v>
      </c>
      <c r="G443" s="15" t="str">
        <f aca="false">IFERROR(INDEX(Decisions!$K$2:$K$122,MATCH(E443,Decisions!$A$2:$A$122,0)),"")</f>
        <v>drop</v>
      </c>
    </row>
    <row r="444" customFormat="false" ht="15" hidden="false" customHeight="false" outlineLevel="0" collapsed="false">
      <c r="A444" s="15" t="s">
        <v>1063</v>
      </c>
      <c r="B444" s="15" t="s">
        <v>68</v>
      </c>
      <c r="C444" s="15" t="s">
        <v>1061</v>
      </c>
      <c r="D444" s="15" t="s">
        <v>1062</v>
      </c>
      <c r="E444" s="15" t="s">
        <v>120</v>
      </c>
      <c r="F444" s="23" t="s">
        <v>97</v>
      </c>
      <c r="G444" s="15" t="n">
        <f aca="false">IFERROR(INDEX(Decisions!$K$2:$K$122,MATCH(E444,Decisions!$A$2:$A$122,0)),"")</f>
        <v>0</v>
      </c>
    </row>
    <row r="445" customFormat="false" ht="15" hidden="false" customHeight="false" outlineLevel="0" collapsed="false">
      <c r="A445" s="15" t="s">
        <v>1064</v>
      </c>
      <c r="B445" s="15" t="s">
        <v>68</v>
      </c>
      <c r="C445" s="15" t="s">
        <v>1061</v>
      </c>
      <c r="D445" s="15" t="s">
        <v>1062</v>
      </c>
      <c r="E445" s="15" t="s">
        <v>122</v>
      </c>
      <c r="F445" s="23" t="s">
        <v>97</v>
      </c>
      <c r="G445" s="15" t="n">
        <f aca="false">IFERROR(INDEX(Decisions!$K$2:$K$122,MATCH(E445,Decisions!$A$2:$A$122,0)),"")</f>
        <v>0</v>
      </c>
    </row>
    <row r="446" customFormat="false" ht="15" hidden="false" customHeight="false" outlineLevel="0" collapsed="false">
      <c r="A446" s="15" t="s">
        <v>1065</v>
      </c>
      <c r="B446" s="15" t="s">
        <v>68</v>
      </c>
      <c r="C446" s="15" t="s">
        <v>1061</v>
      </c>
      <c r="D446" s="15" t="s">
        <v>1062</v>
      </c>
      <c r="E446" s="15" t="s">
        <v>63</v>
      </c>
      <c r="F446" s="25" t="s">
        <v>26</v>
      </c>
      <c r="G446" s="15" t="str">
        <f aca="false">IFERROR(INDEX(Decisions!$K$2:$K$122,MATCH(E446,Decisions!$A$2:$A$122,0)),"")</f>
        <v>drop</v>
      </c>
    </row>
    <row r="447" customFormat="false" ht="15" hidden="false" customHeight="false" outlineLevel="0" collapsed="false">
      <c r="A447" s="15" t="s">
        <v>1066</v>
      </c>
      <c r="B447" s="15" t="s">
        <v>68</v>
      </c>
      <c r="C447" s="15" t="s">
        <v>1061</v>
      </c>
      <c r="D447" s="15" t="s">
        <v>1062</v>
      </c>
      <c r="E447" s="15" t="s">
        <v>124</v>
      </c>
      <c r="F447" s="23" t="s">
        <v>97</v>
      </c>
      <c r="G447" s="15" t="n">
        <f aca="false">IFERROR(INDEX(Decisions!$K$2:$K$122,MATCH(E447,Decisions!$A$2:$A$122,0)),"")</f>
        <v>0</v>
      </c>
    </row>
    <row r="448" customFormat="false" ht="15" hidden="false" customHeight="false" outlineLevel="0" collapsed="false">
      <c r="A448" s="15" t="s">
        <v>1067</v>
      </c>
      <c r="B448" s="15" t="s">
        <v>68</v>
      </c>
      <c r="C448" s="15" t="s">
        <v>1061</v>
      </c>
      <c r="D448" s="15" t="s">
        <v>1062</v>
      </c>
      <c r="E448" s="15" t="s">
        <v>247</v>
      </c>
      <c r="F448" s="24" t="s">
        <v>173</v>
      </c>
      <c r="G448" s="15" t="n">
        <f aca="false">IFERROR(INDEX(Decisions!$K$2:$K$122,MATCH(E448,Decisions!$A$2:$A$122,0)),"")</f>
        <v>0</v>
      </c>
    </row>
    <row r="449" customFormat="false" ht="15" hidden="false" customHeight="false" outlineLevel="0" collapsed="false">
      <c r="A449" s="15" t="s">
        <v>1068</v>
      </c>
      <c r="B449" s="15" t="s">
        <v>68</v>
      </c>
      <c r="C449" s="15" t="s">
        <v>1061</v>
      </c>
      <c r="D449" s="15" t="s">
        <v>1062</v>
      </c>
      <c r="E449" s="15" t="s">
        <v>251</v>
      </c>
      <c r="F449" s="24" t="s">
        <v>173</v>
      </c>
      <c r="G449" s="15" t="n">
        <f aca="false">IFERROR(INDEX(Decisions!$K$2:$K$122,MATCH(E449,Decisions!$A$2:$A$122,0)),"")</f>
        <v>0</v>
      </c>
    </row>
    <row r="450" customFormat="false" ht="15" hidden="false" customHeight="false" outlineLevel="0" collapsed="false">
      <c r="A450" s="15" t="s">
        <v>1069</v>
      </c>
      <c r="B450" s="15" t="s">
        <v>68</v>
      </c>
      <c r="C450" s="15" t="s">
        <v>1061</v>
      </c>
      <c r="D450" s="15" t="s">
        <v>1062</v>
      </c>
      <c r="E450" s="15" t="s">
        <v>126</v>
      </c>
      <c r="F450" s="23" t="s">
        <v>97</v>
      </c>
      <c r="G450" s="15" t="n">
        <f aca="false">IFERROR(INDEX(Decisions!$K$2:$K$122,MATCH(E450,Decisions!$A$2:$A$122,0)),"")</f>
        <v>0</v>
      </c>
    </row>
    <row r="451" customFormat="false" ht="15" hidden="false" customHeight="false" outlineLevel="0" collapsed="false">
      <c r="A451" s="15" t="s">
        <v>1070</v>
      </c>
      <c r="B451" s="15" t="s">
        <v>68</v>
      </c>
      <c r="C451" s="15" t="s">
        <v>1061</v>
      </c>
      <c r="D451" s="15" t="s">
        <v>1062</v>
      </c>
      <c r="E451" s="15" t="s">
        <v>130</v>
      </c>
      <c r="F451" s="23" t="s">
        <v>97</v>
      </c>
      <c r="G451" s="15" t="n">
        <f aca="false">IFERROR(INDEX(Decisions!$K$2:$K$122,MATCH(E451,Decisions!$A$2:$A$122,0)),"")</f>
        <v>0</v>
      </c>
    </row>
    <row r="452" customFormat="false" ht="15" hidden="false" customHeight="false" outlineLevel="0" collapsed="false">
      <c r="A452" s="15" t="s">
        <v>1071</v>
      </c>
      <c r="B452" s="15" t="s">
        <v>68</v>
      </c>
      <c r="C452" s="15" t="s">
        <v>1072</v>
      </c>
      <c r="D452" s="15" t="s">
        <v>1073</v>
      </c>
      <c r="E452" s="15" t="s">
        <v>406</v>
      </c>
      <c r="F452" s="24" t="s">
        <v>173</v>
      </c>
      <c r="G452" s="15" t="n">
        <f aca="false">IFERROR(INDEX(Decisions!$K$2:$K$122,MATCH(E452,Decisions!$A$2:$A$122,0)),"")</f>
        <v>0</v>
      </c>
    </row>
    <row r="453" customFormat="false" ht="15" hidden="false" customHeight="false" outlineLevel="0" collapsed="false">
      <c r="A453" s="15" t="s">
        <v>1074</v>
      </c>
      <c r="B453" s="15" t="s">
        <v>68</v>
      </c>
      <c r="C453" s="15" t="s">
        <v>1072</v>
      </c>
      <c r="D453" s="15" t="s">
        <v>1075</v>
      </c>
      <c r="E453" s="15" t="s">
        <v>366</v>
      </c>
      <c r="F453" s="24" t="s">
        <v>173</v>
      </c>
      <c r="G453" s="15" t="n">
        <f aca="false">IFERROR(INDEX(Decisions!$K$2:$K$122,MATCH(E453,Decisions!$A$2:$A$122,0)),"")</f>
        <v>0</v>
      </c>
    </row>
    <row r="454" customFormat="false" ht="15" hidden="false" customHeight="false" outlineLevel="0" collapsed="false">
      <c r="A454" s="15" t="s">
        <v>1076</v>
      </c>
      <c r="B454" s="15" t="s">
        <v>68</v>
      </c>
      <c r="C454" s="15" t="s">
        <v>1077</v>
      </c>
      <c r="D454" s="15" t="s">
        <v>1078</v>
      </c>
      <c r="E454" s="15" t="s">
        <v>177</v>
      </c>
      <c r="F454" s="24" t="s">
        <v>173</v>
      </c>
      <c r="G454" s="15" t="n">
        <f aca="false">IFERROR(INDEX(Decisions!$K$2:$K$122,MATCH(E454,Decisions!$A$2:$A$122,0)),"")</f>
        <v>0</v>
      </c>
    </row>
    <row r="455" customFormat="false" ht="15" hidden="false" customHeight="false" outlineLevel="0" collapsed="false">
      <c r="A455" s="15" t="s">
        <v>1079</v>
      </c>
      <c r="B455" s="15" t="s">
        <v>68</v>
      </c>
      <c r="C455" s="15" t="s">
        <v>1077</v>
      </c>
      <c r="D455" s="15" t="s">
        <v>1080</v>
      </c>
      <c r="E455" s="15" t="s">
        <v>177</v>
      </c>
      <c r="F455" s="24" t="s">
        <v>173</v>
      </c>
      <c r="G455" s="15" t="n">
        <f aca="false">IFERROR(INDEX(Decisions!$K$2:$K$122,MATCH(E455,Decisions!$A$2:$A$122,0)),"")</f>
        <v>0</v>
      </c>
    </row>
    <row r="456" customFormat="false" ht="15" hidden="false" customHeight="false" outlineLevel="0" collapsed="false">
      <c r="A456" s="15" t="s">
        <v>1081</v>
      </c>
      <c r="B456" s="15" t="s">
        <v>68</v>
      </c>
      <c r="C456" s="15" t="s">
        <v>1077</v>
      </c>
      <c r="D456" s="15" t="s">
        <v>1082</v>
      </c>
      <c r="E456" s="15" t="s">
        <v>212</v>
      </c>
      <c r="F456" s="24" t="s">
        <v>173</v>
      </c>
      <c r="G456" s="15" t="n">
        <f aca="false">IFERROR(INDEX(Decisions!$K$2:$K$122,MATCH(E456,Decisions!$A$2:$A$122,0)),"")</f>
        <v>0</v>
      </c>
    </row>
    <row r="457" customFormat="false" ht="15" hidden="false" customHeight="false" outlineLevel="0" collapsed="false">
      <c r="A457" s="15" t="s">
        <v>1083</v>
      </c>
      <c r="B457" s="15" t="s">
        <v>68</v>
      </c>
      <c r="C457" s="15" t="s">
        <v>1077</v>
      </c>
      <c r="D457" s="15" t="s">
        <v>1082</v>
      </c>
      <c r="E457" s="15" t="s">
        <v>187</v>
      </c>
      <c r="F457" s="24" t="s">
        <v>173</v>
      </c>
      <c r="G457" s="15" t="n">
        <f aca="false">IFERROR(INDEX(Decisions!$K$2:$K$122,MATCH(E457,Decisions!$A$2:$A$122,0)),"")</f>
        <v>0</v>
      </c>
    </row>
    <row r="458" customFormat="false" ht="15" hidden="false" customHeight="false" outlineLevel="0" collapsed="false">
      <c r="A458" s="15" t="s">
        <v>1084</v>
      </c>
      <c r="B458" s="15" t="s">
        <v>68</v>
      </c>
      <c r="C458" s="15" t="s">
        <v>1077</v>
      </c>
      <c r="D458" s="15" t="s">
        <v>1082</v>
      </c>
      <c r="E458" s="15" t="s">
        <v>170</v>
      </c>
      <c r="F458" s="24" t="s">
        <v>173</v>
      </c>
      <c r="G458" s="15" t="n">
        <f aca="false">IFERROR(INDEX(Decisions!$K$2:$K$122,MATCH(E458,Decisions!$A$2:$A$122,0)),"")</f>
        <v>0</v>
      </c>
    </row>
    <row r="459" customFormat="false" ht="15" hidden="false" customHeight="false" outlineLevel="0" collapsed="false">
      <c r="A459" s="15" t="s">
        <v>1085</v>
      </c>
      <c r="B459" s="15" t="s">
        <v>68</v>
      </c>
      <c r="C459" s="15" t="s">
        <v>1086</v>
      </c>
      <c r="D459" s="15" t="s">
        <v>1087</v>
      </c>
      <c r="E459" s="15" t="s">
        <v>101</v>
      </c>
      <c r="F459" s="23" t="s">
        <v>97</v>
      </c>
      <c r="G459" s="15" t="n">
        <f aca="false">IFERROR(INDEX(Decisions!$K$2:$K$122,MATCH(E459,Decisions!$A$2:$A$122,0)),"")</f>
        <v>0</v>
      </c>
    </row>
    <row r="460" customFormat="false" ht="15" hidden="false" customHeight="false" outlineLevel="0" collapsed="false">
      <c r="A460" s="15" t="s">
        <v>1088</v>
      </c>
      <c r="B460" s="15" t="s">
        <v>68</v>
      </c>
      <c r="C460" s="15" t="s">
        <v>1086</v>
      </c>
      <c r="D460" s="15" t="s">
        <v>1087</v>
      </c>
      <c r="E460" s="15" t="s">
        <v>104</v>
      </c>
      <c r="F460" s="23" t="s">
        <v>97</v>
      </c>
      <c r="G460" s="15" t="n">
        <f aca="false">IFERROR(INDEX(Decisions!$K$2:$K$122,MATCH(E460,Decisions!$A$2:$A$122,0)),"")</f>
        <v>0</v>
      </c>
    </row>
    <row r="461" customFormat="false" ht="15" hidden="false" customHeight="false" outlineLevel="0" collapsed="false">
      <c r="A461" s="15" t="s">
        <v>1089</v>
      </c>
      <c r="B461" s="15" t="s">
        <v>68</v>
      </c>
      <c r="C461" s="15" t="s">
        <v>1086</v>
      </c>
      <c r="D461" s="15" t="s">
        <v>1087</v>
      </c>
      <c r="E461" s="15" t="s">
        <v>201</v>
      </c>
      <c r="F461" s="24" t="s">
        <v>173</v>
      </c>
      <c r="G461" s="15" t="n">
        <f aca="false">IFERROR(INDEX(Decisions!$K$2:$K$122,MATCH(E461,Decisions!$A$2:$A$122,0)),"")</f>
        <v>0</v>
      </c>
    </row>
    <row r="462" customFormat="false" ht="15" hidden="false" customHeight="false" outlineLevel="0" collapsed="false">
      <c r="A462" s="15" t="s">
        <v>1090</v>
      </c>
      <c r="B462" s="15" t="s">
        <v>68</v>
      </c>
      <c r="C462" s="15" t="s">
        <v>1086</v>
      </c>
      <c r="D462" s="15" t="s">
        <v>1087</v>
      </c>
      <c r="E462" s="15" t="s">
        <v>206</v>
      </c>
      <c r="F462" s="24" t="s">
        <v>173</v>
      </c>
      <c r="G462" s="15" t="n">
        <f aca="false">IFERROR(INDEX(Decisions!$K$2:$K$122,MATCH(E462,Decisions!$A$2:$A$122,0)),"")</f>
        <v>0</v>
      </c>
    </row>
    <row r="463" customFormat="false" ht="15" hidden="false" customHeight="false" outlineLevel="0" collapsed="false">
      <c r="A463" s="15" t="s">
        <v>1091</v>
      </c>
      <c r="B463" s="15" t="s">
        <v>68</v>
      </c>
      <c r="C463" s="15" t="s">
        <v>1092</v>
      </c>
      <c r="D463" s="15" t="s">
        <v>1093</v>
      </c>
      <c r="E463" s="15" t="s">
        <v>113</v>
      </c>
      <c r="F463" s="23" t="s">
        <v>97</v>
      </c>
      <c r="G463" s="15" t="n">
        <f aca="false">IFERROR(INDEX(Decisions!$K$2:$K$122,MATCH(E463,Decisions!$A$2:$A$122,0)),"")</f>
        <v>0</v>
      </c>
    </row>
    <row r="464" customFormat="false" ht="15" hidden="false" customHeight="false" outlineLevel="0" collapsed="false">
      <c r="A464" s="15" t="s">
        <v>1094</v>
      </c>
      <c r="B464" s="15" t="s">
        <v>68</v>
      </c>
      <c r="C464" s="15" t="s">
        <v>1092</v>
      </c>
      <c r="D464" s="15" t="s">
        <v>1093</v>
      </c>
      <c r="E464" s="15" t="s">
        <v>116</v>
      </c>
      <c r="F464" s="23" t="s">
        <v>97</v>
      </c>
      <c r="G464" s="15" t="n">
        <f aca="false">IFERROR(INDEX(Decisions!$K$2:$K$122,MATCH(E464,Decisions!$A$2:$A$122,0)),"")</f>
        <v>0</v>
      </c>
    </row>
    <row r="465" customFormat="false" ht="15" hidden="false" customHeight="false" outlineLevel="0" collapsed="false">
      <c r="A465" s="15" t="s">
        <v>1095</v>
      </c>
      <c r="B465" s="15" t="s">
        <v>68</v>
      </c>
      <c r="C465" s="15" t="s">
        <v>1092</v>
      </c>
      <c r="D465" s="15" t="s">
        <v>1093</v>
      </c>
      <c r="E465" s="15" t="s">
        <v>225</v>
      </c>
      <c r="F465" s="24" t="s">
        <v>173</v>
      </c>
      <c r="G465" s="15" t="n">
        <f aca="false">IFERROR(INDEX(Decisions!$K$2:$K$122,MATCH(E465,Decisions!$A$2:$A$122,0)),"")</f>
        <v>0</v>
      </c>
    </row>
    <row r="466" customFormat="false" ht="15" hidden="false" customHeight="false" outlineLevel="0" collapsed="false">
      <c r="A466" s="15" t="s">
        <v>1096</v>
      </c>
      <c r="B466" s="15" t="s">
        <v>68</v>
      </c>
      <c r="C466" s="15" t="s">
        <v>1092</v>
      </c>
      <c r="D466" s="15" t="s">
        <v>1093</v>
      </c>
      <c r="E466" s="15" t="s">
        <v>231</v>
      </c>
      <c r="F466" s="24" t="s">
        <v>173</v>
      </c>
      <c r="G466" s="15" t="n">
        <f aca="false">IFERROR(INDEX(Decisions!$K$2:$K$122,MATCH(E466,Decisions!$A$2:$A$122,0)),"")</f>
        <v>0</v>
      </c>
    </row>
    <row r="467" customFormat="false" ht="15" hidden="false" customHeight="false" outlineLevel="0" collapsed="false">
      <c r="A467" s="15" t="s">
        <v>1097</v>
      </c>
      <c r="B467" s="15" t="s">
        <v>68</v>
      </c>
      <c r="C467" s="15" t="s">
        <v>1092</v>
      </c>
      <c r="D467" s="15" t="s">
        <v>1093</v>
      </c>
      <c r="E467" s="15" t="s">
        <v>218</v>
      </c>
      <c r="F467" s="24" t="s">
        <v>173</v>
      </c>
      <c r="G467" s="15" t="n">
        <f aca="false">IFERROR(INDEX(Decisions!$K$2:$K$122,MATCH(E467,Decisions!$A$2:$A$122,0)),"")</f>
        <v>0</v>
      </c>
    </row>
    <row r="468" customFormat="false" ht="15" hidden="false" customHeight="false" outlineLevel="0" collapsed="false">
      <c r="A468" s="15" t="s">
        <v>1098</v>
      </c>
      <c r="B468" s="15" t="s">
        <v>68</v>
      </c>
      <c r="C468" s="15" t="s">
        <v>1092</v>
      </c>
      <c r="D468" s="15" t="s">
        <v>1093</v>
      </c>
      <c r="E468" s="15" t="s">
        <v>118</v>
      </c>
      <c r="F468" s="23" t="s">
        <v>97</v>
      </c>
      <c r="G468" s="15" t="n">
        <f aca="false">IFERROR(INDEX(Decisions!$K$2:$K$122,MATCH(E468,Decisions!$A$2:$A$122,0)),"")</f>
        <v>0</v>
      </c>
    </row>
    <row r="469" customFormat="false" ht="15" hidden="false" customHeight="false" outlineLevel="0" collapsed="false">
      <c r="A469" s="15" t="s">
        <v>1099</v>
      </c>
      <c r="B469" s="15" t="s">
        <v>68</v>
      </c>
      <c r="C469" s="15" t="s">
        <v>1100</v>
      </c>
      <c r="D469" s="15" t="s">
        <v>502</v>
      </c>
      <c r="E469" s="15" t="s">
        <v>191</v>
      </c>
      <c r="F469" s="24" t="s">
        <v>173</v>
      </c>
      <c r="G469" s="15" t="n">
        <f aca="false">IFERROR(INDEX(Decisions!$K$2:$K$122,MATCH(E469,Decisions!$A$2:$A$122,0)),"")</f>
        <v>0</v>
      </c>
    </row>
    <row r="470" customFormat="false" ht="15" hidden="false" customHeight="false" outlineLevel="0" collapsed="false">
      <c r="A470" s="15" t="s">
        <v>1101</v>
      </c>
      <c r="B470" s="15" t="s">
        <v>68</v>
      </c>
      <c r="C470" s="15" t="s">
        <v>1100</v>
      </c>
      <c r="D470" s="15" t="s">
        <v>502</v>
      </c>
      <c r="E470" s="15" t="s">
        <v>99</v>
      </c>
      <c r="F470" s="23" t="s">
        <v>97</v>
      </c>
      <c r="G470" s="15" t="n">
        <f aca="false">IFERROR(INDEX(Decisions!$K$2:$K$122,MATCH(E470,Decisions!$A$2:$A$122,0)),"")</f>
        <v>0</v>
      </c>
    </row>
    <row r="471" customFormat="false" ht="15" hidden="false" customHeight="false" outlineLevel="0" collapsed="false">
      <c r="A471" s="15" t="s">
        <v>1102</v>
      </c>
      <c r="B471" s="15" t="s">
        <v>68</v>
      </c>
      <c r="C471" s="15" t="s">
        <v>1100</v>
      </c>
      <c r="D471" s="15" t="s">
        <v>502</v>
      </c>
      <c r="E471" s="15" t="s">
        <v>108</v>
      </c>
      <c r="F471" s="23" t="s">
        <v>97</v>
      </c>
      <c r="G471" s="15" t="n">
        <f aca="false">IFERROR(INDEX(Decisions!$K$2:$K$122,MATCH(E471,Decisions!$A$2:$A$122,0)),"")</f>
        <v>0</v>
      </c>
    </row>
    <row r="472" customFormat="false" ht="15" hidden="false" customHeight="false" outlineLevel="0" collapsed="false">
      <c r="A472" s="15" t="s">
        <v>1103</v>
      </c>
      <c r="B472" s="15" t="s">
        <v>68</v>
      </c>
      <c r="C472" s="15" t="s">
        <v>1100</v>
      </c>
      <c r="D472" s="15" t="s">
        <v>502</v>
      </c>
      <c r="E472" s="15" t="s">
        <v>106</v>
      </c>
      <c r="F472" s="23" t="s">
        <v>97</v>
      </c>
      <c r="G472" s="15" t="n">
        <f aca="false">IFERROR(INDEX(Decisions!$K$2:$K$122,MATCH(E472,Decisions!$A$2:$A$122,0)),"")</f>
        <v>0</v>
      </c>
    </row>
    <row r="473" customFormat="false" ht="15" hidden="false" customHeight="false" outlineLevel="0" collapsed="false">
      <c r="A473" s="15" t="s">
        <v>1104</v>
      </c>
      <c r="B473" s="15" t="s">
        <v>68</v>
      </c>
      <c r="C473" s="15" t="s">
        <v>1100</v>
      </c>
      <c r="D473" s="15" t="s">
        <v>502</v>
      </c>
      <c r="E473" s="15" t="s">
        <v>194</v>
      </c>
      <c r="F473" s="24" t="s">
        <v>173</v>
      </c>
      <c r="G473" s="15" t="n">
        <f aca="false">IFERROR(INDEX(Decisions!$K$2:$K$122,MATCH(E473,Decisions!$A$2:$A$122,0)),"")</f>
        <v>0</v>
      </c>
    </row>
    <row r="474" customFormat="false" ht="15" hidden="false" customHeight="false" outlineLevel="0" collapsed="false">
      <c r="A474" s="15" t="s">
        <v>1105</v>
      </c>
      <c r="B474" s="15" t="s">
        <v>68</v>
      </c>
      <c r="C474" s="15" t="s">
        <v>1100</v>
      </c>
      <c r="D474" s="15" t="s">
        <v>502</v>
      </c>
      <c r="E474" s="15" t="s">
        <v>58</v>
      </c>
      <c r="F474" s="25" t="s">
        <v>26</v>
      </c>
      <c r="G474" s="15" t="str">
        <f aca="false">IFERROR(INDEX(Decisions!$K$2:$K$122,MATCH(E474,Decisions!$A$2:$A$122,0)),"")</f>
        <v>drop</v>
      </c>
    </row>
    <row r="475" customFormat="false" ht="15" hidden="false" customHeight="false" outlineLevel="0" collapsed="false">
      <c r="A475" s="15" t="s">
        <v>1106</v>
      </c>
      <c r="B475" s="15" t="s">
        <v>68</v>
      </c>
      <c r="C475" s="15" t="s">
        <v>1100</v>
      </c>
      <c r="D475" s="15" t="s">
        <v>502</v>
      </c>
      <c r="E475" s="15" t="s">
        <v>22</v>
      </c>
      <c r="F475" s="25" t="s">
        <v>26</v>
      </c>
      <c r="G475" s="15" t="str">
        <f aca="false">IFERROR(INDEX(Decisions!$K$2:$K$122,MATCH(E475,Decisions!$A$2:$A$122,0)),"")</f>
        <v>drop</v>
      </c>
    </row>
    <row r="476" customFormat="false" ht="15" hidden="false" customHeight="false" outlineLevel="0" collapsed="false">
      <c r="A476" s="15" t="s">
        <v>1107</v>
      </c>
      <c r="B476" s="15" t="s">
        <v>68</v>
      </c>
      <c r="C476" s="15" t="s">
        <v>1100</v>
      </c>
      <c r="D476" s="15" t="s">
        <v>1108</v>
      </c>
      <c r="E476" s="15" t="s">
        <v>191</v>
      </c>
      <c r="F476" s="24" t="s">
        <v>173</v>
      </c>
      <c r="G476" s="15" t="n">
        <f aca="false">IFERROR(INDEX(Decisions!$K$2:$K$122,MATCH(E476,Decisions!$A$2:$A$122,0)),"")</f>
        <v>0</v>
      </c>
    </row>
    <row r="477" customFormat="false" ht="15" hidden="false" customHeight="false" outlineLevel="0" collapsed="false">
      <c r="A477" s="15" t="s">
        <v>1109</v>
      </c>
      <c r="B477" s="15" t="s">
        <v>68</v>
      </c>
      <c r="C477" s="15" t="s">
        <v>1100</v>
      </c>
      <c r="D477" s="15" t="s">
        <v>1108</v>
      </c>
      <c r="E477" s="15" t="s">
        <v>99</v>
      </c>
      <c r="F477" s="23" t="s">
        <v>97</v>
      </c>
      <c r="G477" s="15" t="n">
        <f aca="false">IFERROR(INDEX(Decisions!$K$2:$K$122,MATCH(E477,Decisions!$A$2:$A$122,0)),"")</f>
        <v>0</v>
      </c>
    </row>
    <row r="478" customFormat="false" ht="15" hidden="false" customHeight="false" outlineLevel="0" collapsed="false">
      <c r="A478" s="15" t="s">
        <v>1110</v>
      </c>
      <c r="B478" s="15" t="s">
        <v>68</v>
      </c>
      <c r="C478" s="15" t="s">
        <v>1100</v>
      </c>
      <c r="D478" s="15" t="s">
        <v>1108</v>
      </c>
      <c r="E478" s="15" t="s">
        <v>106</v>
      </c>
      <c r="F478" s="23" t="s">
        <v>97</v>
      </c>
      <c r="G478" s="15" t="n">
        <f aca="false">IFERROR(INDEX(Decisions!$K$2:$K$122,MATCH(E478,Decisions!$A$2:$A$122,0)),"")</f>
        <v>0</v>
      </c>
    </row>
    <row r="479" customFormat="false" ht="15" hidden="false" customHeight="false" outlineLevel="0" collapsed="false">
      <c r="A479" s="15" t="s">
        <v>1111</v>
      </c>
      <c r="B479" s="15" t="s">
        <v>68</v>
      </c>
      <c r="C479" s="15" t="s">
        <v>1100</v>
      </c>
      <c r="D479" s="15" t="s">
        <v>1108</v>
      </c>
      <c r="E479" s="15" t="s">
        <v>194</v>
      </c>
      <c r="F479" s="24" t="s">
        <v>173</v>
      </c>
      <c r="G479" s="15" t="n">
        <f aca="false">IFERROR(INDEX(Decisions!$K$2:$K$122,MATCH(E479,Decisions!$A$2:$A$122,0)),"")</f>
        <v>0</v>
      </c>
    </row>
    <row r="480" customFormat="false" ht="15" hidden="false" customHeight="false" outlineLevel="0" collapsed="false">
      <c r="A480" s="15" t="s">
        <v>1112</v>
      </c>
      <c r="B480" s="15" t="s">
        <v>68</v>
      </c>
      <c r="C480" s="15" t="s">
        <v>1100</v>
      </c>
      <c r="D480" s="15" t="s">
        <v>1108</v>
      </c>
      <c r="E480" s="15" t="s">
        <v>58</v>
      </c>
      <c r="F480" s="25" t="s">
        <v>26</v>
      </c>
      <c r="G480" s="15" t="str">
        <f aca="false">IFERROR(INDEX(Decisions!$K$2:$K$122,MATCH(E480,Decisions!$A$2:$A$122,0)),"")</f>
        <v>drop</v>
      </c>
    </row>
    <row r="481" customFormat="false" ht="15" hidden="false" customHeight="false" outlineLevel="0" collapsed="false">
      <c r="A481" s="15" t="s">
        <v>1113</v>
      </c>
      <c r="B481" s="15" t="s">
        <v>68</v>
      </c>
      <c r="C481" s="15" t="s">
        <v>1100</v>
      </c>
      <c r="D481" s="15" t="s">
        <v>1108</v>
      </c>
      <c r="E481" s="15" t="s">
        <v>22</v>
      </c>
      <c r="F481" s="25" t="s">
        <v>26</v>
      </c>
      <c r="G481" s="15" t="str">
        <f aca="false">IFERROR(INDEX(Decisions!$K$2:$K$122,MATCH(E481,Decisions!$A$2:$A$122,0)),"")</f>
        <v>drop</v>
      </c>
    </row>
    <row r="482" customFormat="false" ht="15" hidden="false" customHeight="false" outlineLevel="0" collapsed="false">
      <c r="A482" s="15" t="s">
        <v>1114</v>
      </c>
      <c r="B482" s="15" t="s">
        <v>68</v>
      </c>
      <c r="C482" s="15" t="s">
        <v>1100</v>
      </c>
      <c r="D482" s="15" t="s">
        <v>1115</v>
      </c>
      <c r="E482" s="15" t="s">
        <v>332</v>
      </c>
      <c r="F482" s="24" t="s">
        <v>173</v>
      </c>
      <c r="G482" s="15" t="n">
        <f aca="false">IFERROR(INDEX(Decisions!$K$2:$K$122,MATCH(E482,Decisions!$A$2:$A$122,0)),"")</f>
        <v>0</v>
      </c>
    </row>
    <row r="483" customFormat="false" ht="15" hidden="false" customHeight="false" outlineLevel="0" collapsed="false">
      <c r="A483" s="15" t="s">
        <v>1116</v>
      </c>
      <c r="B483" s="15" t="s">
        <v>68</v>
      </c>
      <c r="C483" s="15" t="s">
        <v>1100</v>
      </c>
      <c r="D483" s="15" t="s">
        <v>1117</v>
      </c>
      <c r="E483" s="15" t="s">
        <v>278</v>
      </c>
      <c r="F483" s="24" t="s">
        <v>173</v>
      </c>
      <c r="G483" s="15" t="n">
        <f aca="false">IFERROR(INDEX(Decisions!$K$2:$K$122,MATCH(E483,Decisions!$A$2:$A$122,0)),"")</f>
        <v>0</v>
      </c>
    </row>
    <row r="484" customFormat="false" ht="15" hidden="false" customHeight="false" outlineLevel="0" collapsed="false">
      <c r="A484" s="15" t="s">
        <v>1118</v>
      </c>
      <c r="B484" s="15" t="s">
        <v>68</v>
      </c>
      <c r="C484" s="15" t="s">
        <v>1100</v>
      </c>
      <c r="D484" s="15" t="s">
        <v>1119</v>
      </c>
      <c r="E484" s="15" t="s">
        <v>268</v>
      </c>
      <c r="F484" s="24" t="s">
        <v>173</v>
      </c>
      <c r="G484" s="15" t="n">
        <f aca="false">IFERROR(INDEX(Decisions!$K$2:$K$122,MATCH(E484,Decisions!$A$2:$A$122,0)),"")</f>
        <v>0</v>
      </c>
    </row>
    <row r="485" customFormat="false" ht="15" hidden="false" customHeight="false" outlineLevel="0" collapsed="false">
      <c r="A485" s="15" t="s">
        <v>1120</v>
      </c>
      <c r="B485" s="15" t="s">
        <v>68</v>
      </c>
      <c r="C485" s="15" t="s">
        <v>1121</v>
      </c>
      <c r="D485" s="15" t="s">
        <v>1122</v>
      </c>
      <c r="E485" s="15" t="s">
        <v>94</v>
      </c>
      <c r="F485" s="23" t="s">
        <v>97</v>
      </c>
      <c r="G485" s="15" t="n">
        <f aca="false">IFERROR(INDEX(Decisions!$K$2:$K$122,MATCH(E485,Decisions!$A$2:$A$122,0)),"")</f>
        <v>0</v>
      </c>
    </row>
    <row r="486" customFormat="false" ht="15" hidden="false" customHeight="false" outlineLevel="0" collapsed="false">
      <c r="A486" s="15" t="s">
        <v>1123</v>
      </c>
      <c r="B486" s="15" t="s">
        <v>68</v>
      </c>
      <c r="C486" s="15" t="s">
        <v>1121</v>
      </c>
      <c r="D486" s="15" t="s">
        <v>1122</v>
      </c>
      <c r="E486" s="15" t="s">
        <v>215</v>
      </c>
      <c r="F486" s="24" t="s">
        <v>173</v>
      </c>
      <c r="G486" s="15" t="n">
        <f aca="false">IFERROR(INDEX(Decisions!$K$2:$K$122,MATCH(E486,Decisions!$A$2:$A$122,0)),"")</f>
        <v>0</v>
      </c>
    </row>
    <row r="487" customFormat="false" ht="15" hidden="false" customHeight="false" outlineLevel="0" collapsed="false">
      <c r="A487" s="15" t="s">
        <v>1124</v>
      </c>
      <c r="B487" s="15" t="s">
        <v>68</v>
      </c>
      <c r="C487" s="15" t="s">
        <v>1121</v>
      </c>
      <c r="D487" s="15" t="s">
        <v>1122</v>
      </c>
      <c r="E487" s="15" t="s">
        <v>183</v>
      </c>
      <c r="F487" s="24" t="s">
        <v>173</v>
      </c>
      <c r="G487" s="15" t="n">
        <f aca="false">IFERROR(INDEX(Decisions!$K$2:$K$122,MATCH(E487,Decisions!$A$2:$A$122,0)),"")</f>
        <v>0</v>
      </c>
    </row>
    <row r="488" customFormat="false" ht="15" hidden="false" customHeight="false" outlineLevel="0" collapsed="false">
      <c r="A488" s="15" t="s">
        <v>1125</v>
      </c>
      <c r="B488" s="15" t="s">
        <v>68</v>
      </c>
      <c r="C488" s="15" t="s">
        <v>1121</v>
      </c>
      <c r="D488" s="15" t="s">
        <v>1126</v>
      </c>
      <c r="E488" s="15" t="s">
        <v>153</v>
      </c>
      <c r="F488" s="23" t="s">
        <v>97</v>
      </c>
      <c r="G488" s="15" t="n">
        <f aca="false">IFERROR(INDEX(Decisions!$K$2:$K$122,MATCH(E488,Decisions!$A$2:$A$122,0)),"")</f>
        <v>0</v>
      </c>
    </row>
    <row r="489" customFormat="false" ht="15" hidden="false" customHeight="false" outlineLevel="0" collapsed="false">
      <c r="A489" s="15" t="s">
        <v>1127</v>
      </c>
      <c r="B489" s="15" t="s">
        <v>68</v>
      </c>
      <c r="C489" s="15" t="s">
        <v>1121</v>
      </c>
      <c r="D489" s="15" t="s">
        <v>1126</v>
      </c>
      <c r="E489" s="15" t="s">
        <v>94</v>
      </c>
      <c r="F489" s="23" t="s">
        <v>97</v>
      </c>
      <c r="G489" s="15" t="n">
        <f aca="false">IFERROR(INDEX(Decisions!$K$2:$K$122,MATCH(E489,Decisions!$A$2:$A$122,0)),"")</f>
        <v>0</v>
      </c>
    </row>
    <row r="490" customFormat="false" ht="15" hidden="false" customHeight="false" outlineLevel="0" collapsed="false">
      <c r="A490" s="15" t="s">
        <v>1128</v>
      </c>
      <c r="B490" s="15" t="s">
        <v>68</v>
      </c>
      <c r="C490" s="15" t="s">
        <v>1121</v>
      </c>
      <c r="D490" s="15" t="s">
        <v>1126</v>
      </c>
      <c r="E490" s="15" t="s">
        <v>215</v>
      </c>
      <c r="F490" s="24" t="s">
        <v>173</v>
      </c>
      <c r="G490" s="15" t="n">
        <f aca="false">IFERROR(INDEX(Decisions!$K$2:$K$122,MATCH(E490,Decisions!$A$2:$A$122,0)),"")</f>
        <v>0</v>
      </c>
    </row>
    <row r="491" customFormat="false" ht="15" hidden="false" customHeight="false" outlineLevel="0" collapsed="false">
      <c r="A491" s="15" t="s">
        <v>1129</v>
      </c>
      <c r="B491" s="15" t="s">
        <v>68</v>
      </c>
      <c r="C491" s="15" t="s">
        <v>1121</v>
      </c>
      <c r="D491" s="15" t="s">
        <v>1126</v>
      </c>
      <c r="E491" s="15" t="s">
        <v>376</v>
      </c>
      <c r="F491" s="24" t="s">
        <v>173</v>
      </c>
      <c r="G491" s="15" t="n">
        <f aca="false">IFERROR(INDEX(Decisions!$K$2:$K$122,MATCH(E491,Decisions!$A$2:$A$122,0)),"")</f>
        <v>0</v>
      </c>
    </row>
    <row r="492" customFormat="false" ht="15" hidden="false" customHeight="false" outlineLevel="0" collapsed="false">
      <c r="A492" s="15" t="s">
        <v>1130</v>
      </c>
      <c r="B492" s="15" t="s">
        <v>68</v>
      </c>
      <c r="C492" s="15" t="s">
        <v>1121</v>
      </c>
      <c r="D492" s="15" t="s">
        <v>1126</v>
      </c>
      <c r="E492" s="15" t="s">
        <v>233</v>
      </c>
      <c r="F492" s="24" t="s">
        <v>173</v>
      </c>
      <c r="G492" s="15" t="n">
        <f aca="false">IFERROR(INDEX(Decisions!$K$2:$K$122,MATCH(E492,Decisions!$A$2:$A$122,0)),"")</f>
        <v>0</v>
      </c>
    </row>
    <row r="493" customFormat="false" ht="15" hidden="false" customHeight="false" outlineLevel="0" collapsed="false">
      <c r="A493" s="15" t="s">
        <v>1131</v>
      </c>
      <c r="B493" s="15" t="s">
        <v>68</v>
      </c>
      <c r="C493" s="15" t="s">
        <v>1121</v>
      </c>
      <c r="D493" s="15" t="s">
        <v>1126</v>
      </c>
      <c r="E493" s="15" t="s">
        <v>378</v>
      </c>
      <c r="F493" s="24" t="s">
        <v>173</v>
      </c>
      <c r="G493" s="15" t="n">
        <f aca="false">IFERROR(INDEX(Decisions!$K$2:$K$122,MATCH(E493,Decisions!$A$2:$A$122,0)),"")</f>
        <v>0</v>
      </c>
    </row>
    <row r="494" customFormat="false" ht="15" hidden="false" customHeight="false" outlineLevel="0" collapsed="false">
      <c r="A494" s="15" t="s">
        <v>1132</v>
      </c>
      <c r="B494" s="15" t="s">
        <v>68</v>
      </c>
      <c r="C494" s="15" t="s">
        <v>1121</v>
      </c>
      <c r="D494" s="15" t="s">
        <v>1126</v>
      </c>
      <c r="E494" s="15" t="s">
        <v>183</v>
      </c>
      <c r="F494" s="24" t="s">
        <v>173</v>
      </c>
      <c r="G494" s="15" t="n">
        <f aca="false">IFERROR(INDEX(Decisions!$K$2:$K$122,MATCH(E494,Decisions!$A$2:$A$122,0)),"")</f>
        <v>0</v>
      </c>
    </row>
    <row r="495" customFormat="false" ht="15" hidden="false" customHeight="false" outlineLevel="0" collapsed="false">
      <c r="A495" s="15" t="s">
        <v>1133</v>
      </c>
      <c r="B495" s="15" t="s">
        <v>68</v>
      </c>
      <c r="C495" s="15" t="s">
        <v>1121</v>
      </c>
      <c r="D495" s="15" t="s">
        <v>1134</v>
      </c>
      <c r="E495" s="15" t="s">
        <v>94</v>
      </c>
      <c r="F495" s="23" t="s">
        <v>97</v>
      </c>
      <c r="G495" s="15" t="n">
        <f aca="false">IFERROR(INDEX(Decisions!$K$2:$K$122,MATCH(E495,Decisions!$A$2:$A$122,0)),"")</f>
        <v>0</v>
      </c>
    </row>
    <row r="496" customFormat="false" ht="15" hidden="false" customHeight="false" outlineLevel="0" collapsed="false">
      <c r="A496" s="15" t="s">
        <v>1135</v>
      </c>
      <c r="B496" s="15" t="s">
        <v>68</v>
      </c>
      <c r="C496" s="15" t="s">
        <v>1121</v>
      </c>
      <c r="D496" s="15" t="s">
        <v>1134</v>
      </c>
      <c r="E496" s="15" t="s">
        <v>183</v>
      </c>
      <c r="F496" s="24" t="s">
        <v>173</v>
      </c>
      <c r="G496" s="15" t="n">
        <f aca="false">IFERROR(INDEX(Decisions!$K$2:$K$122,MATCH(E496,Decisions!$A$2:$A$122,0)),"")</f>
        <v>0</v>
      </c>
    </row>
    <row r="497" customFormat="false" ht="15" hidden="false" customHeight="false" outlineLevel="0" collapsed="false">
      <c r="A497" s="15" t="s">
        <v>1136</v>
      </c>
      <c r="B497" s="15" t="s">
        <v>68</v>
      </c>
      <c r="C497" s="15" t="s">
        <v>1137</v>
      </c>
      <c r="D497" s="15" t="s">
        <v>1138</v>
      </c>
      <c r="E497" s="15" t="s">
        <v>281</v>
      </c>
      <c r="F497" s="24" t="s">
        <v>173</v>
      </c>
      <c r="G497" s="15" t="n">
        <f aca="false">IFERROR(INDEX(Decisions!$K$2:$K$122,MATCH(E497,Decisions!$A$2:$A$122,0)),"")</f>
        <v>0</v>
      </c>
    </row>
    <row r="498" customFormat="false" ht="15" hidden="false" customHeight="false" outlineLevel="0" collapsed="false">
      <c r="A498" s="15" t="s">
        <v>1139</v>
      </c>
      <c r="B498" s="15" t="s">
        <v>68</v>
      </c>
      <c r="C498" s="15" t="s">
        <v>1140</v>
      </c>
      <c r="D498" s="15" t="s">
        <v>598</v>
      </c>
      <c r="E498" s="15" t="s">
        <v>110</v>
      </c>
      <c r="F498" s="23" t="s">
        <v>97</v>
      </c>
      <c r="G498" s="15" t="n">
        <f aca="false">IFERROR(INDEX(Decisions!$K$2:$K$122,MATCH(E498,Decisions!$A$2:$A$122,0)),"")</f>
        <v>0</v>
      </c>
    </row>
    <row r="499" customFormat="false" ht="15" hidden="false" customHeight="false" outlineLevel="0" collapsed="false">
      <c r="A499" s="15" t="s">
        <v>1141</v>
      </c>
      <c r="B499" s="15" t="s">
        <v>68</v>
      </c>
      <c r="C499" s="15" t="s">
        <v>1140</v>
      </c>
      <c r="D499" s="15" t="s">
        <v>598</v>
      </c>
      <c r="E499" s="15" t="s">
        <v>198</v>
      </c>
      <c r="F499" s="24" t="s">
        <v>173</v>
      </c>
      <c r="G499" s="15" t="n">
        <f aca="false">IFERROR(INDEX(Decisions!$K$2:$K$122,MATCH(E499,Decisions!$A$2:$A$122,0)),"")</f>
        <v>0</v>
      </c>
    </row>
    <row r="500" customFormat="false" ht="15" hidden="false" customHeight="false" outlineLevel="0" collapsed="false">
      <c r="A500" s="15" t="s">
        <v>1142</v>
      </c>
      <c r="B500" s="15" t="s">
        <v>68</v>
      </c>
      <c r="C500" s="15" t="s">
        <v>1143</v>
      </c>
      <c r="D500" s="15" t="s">
        <v>1144</v>
      </c>
      <c r="E500" s="15" t="s">
        <v>177</v>
      </c>
      <c r="F500" s="24" t="s">
        <v>173</v>
      </c>
      <c r="G500" s="15" t="n">
        <f aca="false">IFERROR(INDEX(Decisions!$K$2:$K$122,MATCH(E500,Decisions!$A$2:$A$122,0)),"")</f>
        <v>0</v>
      </c>
    </row>
    <row r="501" customFormat="false" ht="15" hidden="false" customHeight="false" outlineLevel="0" collapsed="false">
      <c r="A501" s="15" t="s">
        <v>1145</v>
      </c>
      <c r="B501" s="15" t="s">
        <v>68</v>
      </c>
      <c r="C501" s="15" t="s">
        <v>1146</v>
      </c>
      <c r="D501" s="15" t="s">
        <v>1147</v>
      </c>
      <c r="E501" s="15" t="s">
        <v>304</v>
      </c>
      <c r="F501" s="24" t="s">
        <v>173</v>
      </c>
      <c r="G501" s="15" t="n">
        <f aca="false">IFERROR(INDEX(Decisions!$K$2:$K$122,MATCH(E501,Decisions!$A$2:$A$122,0)),"")</f>
        <v>0</v>
      </c>
    </row>
    <row r="502" customFormat="false" ht="15" hidden="false" customHeight="false" outlineLevel="0" collapsed="false">
      <c r="A502" s="15" t="s">
        <v>1148</v>
      </c>
      <c r="B502" s="15" t="s">
        <v>68</v>
      </c>
      <c r="C502" s="15" t="s">
        <v>1146</v>
      </c>
      <c r="D502" s="15" t="s">
        <v>1147</v>
      </c>
      <c r="E502" s="15" t="s">
        <v>255</v>
      </c>
      <c r="F502" s="24" t="s">
        <v>173</v>
      </c>
      <c r="G502" s="15" t="n">
        <f aca="false">IFERROR(INDEX(Decisions!$K$2:$K$122,MATCH(E502,Decisions!$A$2:$A$122,0)),"")</f>
        <v>0</v>
      </c>
    </row>
    <row r="503" customFormat="false" ht="15" hidden="false" customHeight="false" outlineLevel="0" collapsed="false">
      <c r="A503" s="15" t="s">
        <v>1149</v>
      </c>
      <c r="B503" s="15" t="s">
        <v>68</v>
      </c>
      <c r="C503" s="15" t="s">
        <v>1146</v>
      </c>
      <c r="D503" s="15" t="s">
        <v>1147</v>
      </c>
      <c r="E503" s="15" t="s">
        <v>235</v>
      </c>
      <c r="F503" s="24" t="s">
        <v>173</v>
      </c>
      <c r="G503" s="15" t="n">
        <f aca="false">IFERROR(INDEX(Decisions!$K$2:$K$122,MATCH(E503,Decisions!$A$2:$A$122,0)),"")</f>
        <v>0</v>
      </c>
    </row>
    <row r="504" customFormat="false" ht="15" hidden="false" customHeight="false" outlineLevel="0" collapsed="false">
      <c r="A504" s="15" t="s">
        <v>1150</v>
      </c>
      <c r="B504" s="15" t="s">
        <v>68</v>
      </c>
      <c r="C504" s="15" t="s">
        <v>1146</v>
      </c>
      <c r="D504" s="15" t="s">
        <v>1147</v>
      </c>
      <c r="E504" s="15" t="s">
        <v>228</v>
      </c>
      <c r="F504" s="24" t="s">
        <v>173</v>
      </c>
      <c r="G504" s="15" t="n">
        <f aca="false">IFERROR(INDEX(Decisions!$K$2:$K$122,MATCH(E504,Decisions!$A$2:$A$122,0)),"")</f>
        <v>0</v>
      </c>
    </row>
    <row r="505" customFormat="false" ht="15" hidden="false" customHeight="false" outlineLevel="0" collapsed="false">
      <c r="A505" s="15" t="s">
        <v>1151</v>
      </c>
      <c r="B505" s="15" t="s">
        <v>68</v>
      </c>
      <c r="C505" s="15" t="s">
        <v>1146</v>
      </c>
      <c r="D505" s="15" t="s">
        <v>1147</v>
      </c>
      <c r="E505" s="15" t="s">
        <v>212</v>
      </c>
      <c r="F505" s="24" t="s">
        <v>173</v>
      </c>
      <c r="G505" s="15" t="n">
        <f aca="false">IFERROR(INDEX(Decisions!$K$2:$K$122,MATCH(E505,Decisions!$A$2:$A$122,0)),"")</f>
        <v>0</v>
      </c>
    </row>
    <row r="506" customFormat="false" ht="15" hidden="false" customHeight="false" outlineLevel="0" collapsed="false">
      <c r="A506" s="15" t="s">
        <v>1152</v>
      </c>
      <c r="B506" s="15" t="s">
        <v>68</v>
      </c>
      <c r="C506" s="15" t="s">
        <v>1146</v>
      </c>
      <c r="D506" s="15" t="s">
        <v>1147</v>
      </c>
      <c r="E506" s="15" t="s">
        <v>187</v>
      </c>
      <c r="F506" s="24" t="s">
        <v>173</v>
      </c>
      <c r="G506" s="15" t="n">
        <f aca="false">IFERROR(INDEX(Decisions!$K$2:$K$122,MATCH(E506,Decisions!$A$2:$A$122,0)),"")</f>
        <v>0</v>
      </c>
    </row>
    <row r="507" customFormat="false" ht="15" hidden="false" customHeight="false" outlineLevel="0" collapsed="false">
      <c r="A507" s="15" t="s">
        <v>1153</v>
      </c>
      <c r="B507" s="15" t="s">
        <v>68</v>
      </c>
      <c r="C507" s="15" t="s">
        <v>1146</v>
      </c>
      <c r="D507" s="15" t="s">
        <v>1147</v>
      </c>
      <c r="E507" s="15" t="s">
        <v>170</v>
      </c>
      <c r="F507" s="24" t="s">
        <v>173</v>
      </c>
      <c r="G507" s="15" t="n">
        <f aca="false">IFERROR(INDEX(Decisions!$K$2:$K$122,MATCH(E507,Decisions!$A$2:$A$122,0)),"")</f>
        <v>0</v>
      </c>
    </row>
    <row r="508" customFormat="false" ht="15" hidden="false" customHeight="false" outlineLevel="0" collapsed="false">
      <c r="A508" s="15" t="s">
        <v>1154</v>
      </c>
      <c r="B508" s="15" t="s">
        <v>68</v>
      </c>
      <c r="C508" s="15" t="s">
        <v>1146</v>
      </c>
      <c r="D508" s="15" t="s">
        <v>1147</v>
      </c>
      <c r="E508" s="15" t="s">
        <v>315</v>
      </c>
      <c r="F508" s="24" t="s">
        <v>173</v>
      </c>
      <c r="G508" s="15" t="n">
        <f aca="false">IFERROR(INDEX(Decisions!$K$2:$K$122,MATCH(E508,Decisions!$A$2:$A$122,0)),"")</f>
        <v>0</v>
      </c>
    </row>
    <row r="509" customFormat="false" ht="15" hidden="false" customHeight="false" outlineLevel="0" collapsed="false">
      <c r="A509" s="15" t="s">
        <v>1155</v>
      </c>
      <c r="B509" s="15" t="s">
        <v>68</v>
      </c>
      <c r="C509" s="15" t="s">
        <v>1146</v>
      </c>
      <c r="D509" s="15" t="s">
        <v>1147</v>
      </c>
      <c r="E509" s="15" t="s">
        <v>317</v>
      </c>
      <c r="F509" s="24" t="s">
        <v>173</v>
      </c>
      <c r="G509" s="15" t="n">
        <f aca="false">IFERROR(INDEX(Decisions!$K$2:$K$122,MATCH(E509,Decisions!$A$2:$A$122,0)),"")</f>
        <v>0</v>
      </c>
    </row>
    <row r="510" customFormat="false" ht="15" hidden="false" customHeight="false" outlineLevel="0" collapsed="false">
      <c r="A510" s="15" t="s">
        <v>1156</v>
      </c>
      <c r="B510" s="15" t="s">
        <v>68</v>
      </c>
      <c r="C510" s="15" t="s">
        <v>1157</v>
      </c>
      <c r="D510" s="15" t="s">
        <v>1158</v>
      </c>
      <c r="E510" s="15" t="s">
        <v>255</v>
      </c>
      <c r="F510" s="24" t="s">
        <v>173</v>
      </c>
      <c r="G510" s="15" t="n">
        <f aca="false">IFERROR(INDEX(Decisions!$K$2:$K$122,MATCH(E510,Decisions!$A$2:$A$122,0)),"")</f>
        <v>0</v>
      </c>
    </row>
    <row r="511" customFormat="false" ht="15" hidden="false" customHeight="false" outlineLevel="0" collapsed="false">
      <c r="A511" s="15" t="s">
        <v>1159</v>
      </c>
      <c r="B511" s="15" t="s">
        <v>68</v>
      </c>
      <c r="C511" s="15" t="s">
        <v>1157</v>
      </c>
      <c r="D511" s="15" t="s">
        <v>1158</v>
      </c>
      <c r="E511" s="15" t="s">
        <v>212</v>
      </c>
      <c r="F511" s="24" t="s">
        <v>173</v>
      </c>
      <c r="G511" s="15" t="n">
        <f aca="false">IFERROR(INDEX(Decisions!$K$2:$K$122,MATCH(E511,Decisions!$A$2:$A$122,0)),"")</f>
        <v>0</v>
      </c>
    </row>
    <row r="512" customFormat="false" ht="15" hidden="false" customHeight="false" outlineLevel="0" collapsed="false">
      <c r="A512" s="15" t="s">
        <v>1160</v>
      </c>
      <c r="B512" s="15" t="s">
        <v>68</v>
      </c>
      <c r="C512" s="15" t="s">
        <v>1157</v>
      </c>
      <c r="D512" s="15" t="s">
        <v>1158</v>
      </c>
      <c r="E512" s="15" t="s">
        <v>187</v>
      </c>
      <c r="F512" s="24" t="s">
        <v>173</v>
      </c>
      <c r="G512" s="15" t="n">
        <f aca="false">IFERROR(INDEX(Decisions!$K$2:$K$122,MATCH(E512,Decisions!$A$2:$A$122,0)),"")</f>
        <v>0</v>
      </c>
    </row>
    <row r="513" customFormat="false" ht="15" hidden="false" customHeight="false" outlineLevel="0" collapsed="false">
      <c r="A513" s="15" t="s">
        <v>1161</v>
      </c>
      <c r="B513" s="15" t="s">
        <v>68</v>
      </c>
      <c r="C513" s="15" t="s">
        <v>1157</v>
      </c>
      <c r="D513" s="15" t="s">
        <v>1158</v>
      </c>
      <c r="E513" s="15" t="s">
        <v>170</v>
      </c>
      <c r="F513" s="24" t="s">
        <v>173</v>
      </c>
      <c r="G513" s="15" t="n">
        <f aca="false">IFERROR(INDEX(Decisions!$K$2:$K$122,MATCH(E513,Decisions!$A$2:$A$122,0)),"")</f>
        <v>0</v>
      </c>
    </row>
    <row r="514" customFormat="false" ht="15" hidden="false" customHeight="false" outlineLevel="0" collapsed="false">
      <c r="A514" s="15" t="s">
        <v>1162</v>
      </c>
      <c r="B514" s="15" t="s">
        <v>68</v>
      </c>
      <c r="C514" s="15" t="s">
        <v>1157</v>
      </c>
      <c r="D514" s="15" t="s">
        <v>1163</v>
      </c>
      <c r="E514" s="15" t="s">
        <v>177</v>
      </c>
      <c r="F514" s="24" t="s">
        <v>173</v>
      </c>
      <c r="G514" s="15" t="n">
        <f aca="false">IFERROR(INDEX(Decisions!$K$2:$K$122,MATCH(E514,Decisions!$A$2:$A$122,0)),"")</f>
        <v>0</v>
      </c>
    </row>
    <row r="515" customFormat="false" ht="15" hidden="false" customHeight="false" outlineLevel="0" collapsed="false">
      <c r="A515" s="15" t="s">
        <v>1164</v>
      </c>
      <c r="B515" s="15" t="s">
        <v>68</v>
      </c>
      <c r="C515" s="15" t="s">
        <v>1157</v>
      </c>
      <c r="D515" s="15" t="s">
        <v>1165</v>
      </c>
      <c r="E515" s="15" t="s">
        <v>264</v>
      </c>
      <c r="F515" s="24" t="s">
        <v>173</v>
      </c>
      <c r="G515" s="15" t="n">
        <f aca="false">IFERROR(INDEX(Decisions!$K$2:$K$122,MATCH(E515,Decisions!$A$2:$A$122,0)),"")</f>
        <v>0</v>
      </c>
    </row>
    <row r="516" customFormat="false" ht="15" hidden="false" customHeight="false" outlineLevel="0" collapsed="false">
      <c r="A516" s="15" t="s">
        <v>1166</v>
      </c>
      <c r="B516" s="15" t="s">
        <v>68</v>
      </c>
      <c r="C516" s="15" t="s">
        <v>1167</v>
      </c>
      <c r="D516" s="15" t="s">
        <v>1168</v>
      </c>
      <c r="E516" s="15" t="s">
        <v>284</v>
      </c>
      <c r="F516" s="24" t="s">
        <v>173</v>
      </c>
      <c r="G516" s="15" t="n">
        <f aca="false">IFERROR(INDEX(Decisions!$K$2:$K$122,MATCH(E516,Decisions!$A$2:$A$122,0)),"")</f>
        <v>0</v>
      </c>
    </row>
    <row r="517" customFormat="false" ht="15" hidden="false" customHeight="false" outlineLevel="0" collapsed="false">
      <c r="A517" s="15" t="s">
        <v>1169</v>
      </c>
      <c r="B517" s="15" t="s">
        <v>68</v>
      </c>
      <c r="C517" s="15" t="s">
        <v>1167</v>
      </c>
      <c r="D517" s="15" t="s">
        <v>1168</v>
      </c>
      <c r="E517" s="15" t="s">
        <v>101</v>
      </c>
      <c r="F517" s="23" t="s">
        <v>97</v>
      </c>
      <c r="G517" s="15" t="n">
        <f aca="false">IFERROR(INDEX(Decisions!$K$2:$K$122,MATCH(E517,Decisions!$A$2:$A$122,0)),"")</f>
        <v>0</v>
      </c>
    </row>
    <row r="518" customFormat="false" ht="15" hidden="false" customHeight="false" outlineLevel="0" collapsed="false">
      <c r="A518" s="15" t="s">
        <v>1170</v>
      </c>
      <c r="B518" s="15" t="s">
        <v>68</v>
      </c>
      <c r="C518" s="15" t="s">
        <v>1167</v>
      </c>
      <c r="D518" s="15" t="s">
        <v>1168</v>
      </c>
      <c r="E518" s="15" t="s">
        <v>104</v>
      </c>
      <c r="F518" s="23" t="s">
        <v>97</v>
      </c>
      <c r="G518" s="15" t="n">
        <f aca="false">IFERROR(INDEX(Decisions!$K$2:$K$122,MATCH(E518,Decisions!$A$2:$A$122,0)),"")</f>
        <v>0</v>
      </c>
    </row>
    <row r="519" customFormat="false" ht="15" hidden="false" customHeight="false" outlineLevel="0" collapsed="false">
      <c r="A519" s="15" t="s">
        <v>1171</v>
      </c>
      <c r="B519" s="15" t="s">
        <v>68</v>
      </c>
      <c r="C519" s="15" t="s">
        <v>1167</v>
      </c>
      <c r="D519" s="15" t="s">
        <v>1168</v>
      </c>
      <c r="E519" s="15" t="s">
        <v>201</v>
      </c>
      <c r="F519" s="24" t="s">
        <v>173</v>
      </c>
      <c r="G519" s="15" t="n">
        <f aca="false">IFERROR(INDEX(Decisions!$K$2:$K$122,MATCH(E519,Decisions!$A$2:$A$122,0)),"")</f>
        <v>0</v>
      </c>
    </row>
    <row r="520" customFormat="false" ht="15" hidden="false" customHeight="false" outlineLevel="0" collapsed="false">
      <c r="A520" s="15" t="s">
        <v>1172</v>
      </c>
      <c r="B520" s="15" t="s">
        <v>68</v>
      </c>
      <c r="C520" s="15" t="s">
        <v>1167</v>
      </c>
      <c r="D520" s="15" t="s">
        <v>1168</v>
      </c>
      <c r="E520" s="15" t="s">
        <v>206</v>
      </c>
      <c r="F520" s="24" t="s">
        <v>173</v>
      </c>
      <c r="G520" s="15" t="n">
        <f aca="false">IFERROR(INDEX(Decisions!$K$2:$K$122,MATCH(E520,Decisions!$A$2:$A$122,0)),"")</f>
        <v>0</v>
      </c>
    </row>
    <row r="521" customFormat="false" ht="15" hidden="false" customHeight="false" outlineLevel="0" collapsed="false">
      <c r="A521" s="15" t="s">
        <v>1173</v>
      </c>
      <c r="B521" s="15" t="s">
        <v>68</v>
      </c>
      <c r="C521" s="15" t="s">
        <v>1167</v>
      </c>
      <c r="D521" s="15" t="s">
        <v>1174</v>
      </c>
      <c r="E521" s="15" t="s">
        <v>94</v>
      </c>
      <c r="F521" s="23" t="s">
        <v>97</v>
      </c>
      <c r="G521" s="15" t="n">
        <f aca="false">IFERROR(INDEX(Decisions!$K$2:$K$122,MATCH(E521,Decisions!$A$2:$A$122,0)),"")</f>
        <v>0</v>
      </c>
    </row>
    <row r="522" customFormat="false" ht="15" hidden="false" customHeight="false" outlineLevel="0" collapsed="false">
      <c r="A522" s="15" t="s">
        <v>1175</v>
      </c>
      <c r="B522" s="15" t="s">
        <v>68</v>
      </c>
      <c r="C522" s="15" t="s">
        <v>1167</v>
      </c>
      <c r="D522" s="15" t="s">
        <v>1174</v>
      </c>
      <c r="E522" s="15" t="s">
        <v>215</v>
      </c>
      <c r="F522" s="24" t="s">
        <v>173</v>
      </c>
      <c r="G522" s="15" t="n">
        <f aca="false">IFERROR(INDEX(Decisions!$K$2:$K$122,MATCH(E522,Decisions!$A$2:$A$122,0)),"")</f>
        <v>0</v>
      </c>
    </row>
    <row r="523" customFormat="false" ht="15" hidden="false" customHeight="false" outlineLevel="0" collapsed="false">
      <c r="A523" s="15" t="s">
        <v>1176</v>
      </c>
      <c r="B523" s="15" t="s">
        <v>68</v>
      </c>
      <c r="C523" s="15" t="s">
        <v>1167</v>
      </c>
      <c r="D523" s="15" t="s">
        <v>1174</v>
      </c>
      <c r="E523" s="15" t="s">
        <v>233</v>
      </c>
      <c r="F523" s="24" t="s">
        <v>173</v>
      </c>
      <c r="G523" s="15" t="n">
        <f aca="false">IFERROR(INDEX(Decisions!$K$2:$K$122,MATCH(E523,Decisions!$A$2:$A$122,0)),"")</f>
        <v>0</v>
      </c>
    </row>
    <row r="524" customFormat="false" ht="15" hidden="false" customHeight="false" outlineLevel="0" collapsed="false">
      <c r="A524" s="15" t="s">
        <v>1177</v>
      </c>
      <c r="B524" s="15" t="s">
        <v>68</v>
      </c>
      <c r="C524" s="15" t="s">
        <v>1167</v>
      </c>
      <c r="D524" s="15" t="s">
        <v>1174</v>
      </c>
      <c r="E524" s="15" t="s">
        <v>183</v>
      </c>
      <c r="F524" s="24" t="s">
        <v>173</v>
      </c>
      <c r="G524" s="15" t="n">
        <f aca="false">IFERROR(INDEX(Decisions!$K$2:$K$122,MATCH(E524,Decisions!$A$2:$A$122,0)),"")</f>
        <v>0</v>
      </c>
    </row>
    <row r="525" customFormat="false" ht="15" hidden="false" customHeight="false" outlineLevel="0" collapsed="false">
      <c r="A525" s="15" t="s">
        <v>1178</v>
      </c>
      <c r="B525" s="15" t="s">
        <v>68</v>
      </c>
      <c r="C525" s="15" t="s">
        <v>1179</v>
      </c>
      <c r="D525" s="15" t="s">
        <v>1180</v>
      </c>
      <c r="E525" s="15" t="s">
        <v>222</v>
      </c>
      <c r="F525" s="24" t="s">
        <v>173</v>
      </c>
      <c r="G525" s="15" t="n">
        <f aca="false">IFERROR(INDEX(Decisions!$K$2:$K$122,MATCH(E525,Decisions!$A$2:$A$122,0)),"")</f>
        <v>0</v>
      </c>
    </row>
    <row r="526" customFormat="false" ht="15" hidden="false" customHeight="false" outlineLevel="0" collapsed="false">
      <c r="A526" s="15" t="s">
        <v>1181</v>
      </c>
      <c r="B526" s="15" t="s">
        <v>68</v>
      </c>
      <c r="C526" s="15" t="s">
        <v>1179</v>
      </c>
      <c r="D526" s="15" t="s">
        <v>598</v>
      </c>
      <c r="E526" s="15" t="s">
        <v>110</v>
      </c>
      <c r="F526" s="23" t="s">
        <v>97</v>
      </c>
      <c r="G526" s="15" t="n">
        <f aca="false">IFERROR(INDEX(Decisions!$K$2:$K$122,MATCH(E526,Decisions!$A$2:$A$122,0)),"")</f>
        <v>0</v>
      </c>
    </row>
    <row r="527" customFormat="false" ht="15" hidden="false" customHeight="false" outlineLevel="0" collapsed="false">
      <c r="A527" s="15" t="s">
        <v>1182</v>
      </c>
      <c r="B527" s="15" t="s">
        <v>68</v>
      </c>
      <c r="C527" s="15" t="s">
        <v>1179</v>
      </c>
      <c r="D527" s="15" t="s">
        <v>598</v>
      </c>
      <c r="E527" s="15" t="s">
        <v>198</v>
      </c>
      <c r="F527" s="24" t="s">
        <v>173</v>
      </c>
      <c r="G527" s="15" t="n">
        <f aca="false">IFERROR(INDEX(Decisions!$K$2:$K$122,MATCH(E527,Decisions!$A$2:$A$122,0)),"")</f>
        <v>0</v>
      </c>
    </row>
    <row r="528" customFormat="false" ht="15" hidden="false" customHeight="false" outlineLevel="0" collapsed="false">
      <c r="A528" s="15" t="s">
        <v>1183</v>
      </c>
      <c r="B528" s="15" t="s">
        <v>68</v>
      </c>
      <c r="C528" s="15" t="s">
        <v>1184</v>
      </c>
      <c r="D528" s="15" t="s">
        <v>1185</v>
      </c>
      <c r="E528" s="15" t="s">
        <v>290</v>
      </c>
      <c r="F528" s="24" t="s">
        <v>173</v>
      </c>
      <c r="G528" s="15" t="n">
        <f aca="false">IFERROR(INDEX(Decisions!$K$2:$K$122,MATCH(E528,Decisions!$A$2:$A$122,0)),"")</f>
        <v>0</v>
      </c>
    </row>
    <row r="529" customFormat="false" ht="15" hidden="false" customHeight="false" outlineLevel="0" collapsed="false">
      <c r="A529" s="15" t="s">
        <v>1186</v>
      </c>
      <c r="B529" s="15" t="s">
        <v>68</v>
      </c>
      <c r="C529" s="15" t="s">
        <v>1184</v>
      </c>
      <c r="D529" s="15" t="s">
        <v>1187</v>
      </c>
      <c r="E529" s="15" t="s">
        <v>177</v>
      </c>
      <c r="F529" s="24" t="s">
        <v>173</v>
      </c>
      <c r="G529" s="15" t="n">
        <f aca="false">IFERROR(INDEX(Decisions!$K$2:$K$122,MATCH(E529,Decisions!$A$2:$A$122,0)),"")</f>
        <v>0</v>
      </c>
    </row>
    <row r="530" customFormat="false" ht="15" hidden="false" customHeight="false" outlineLevel="0" collapsed="false">
      <c r="A530" s="15" t="s">
        <v>1188</v>
      </c>
      <c r="B530" s="15" t="s">
        <v>68</v>
      </c>
      <c r="C530" s="15" t="s">
        <v>1184</v>
      </c>
      <c r="D530" s="15" t="s">
        <v>1189</v>
      </c>
      <c r="E530" s="15" t="s">
        <v>187</v>
      </c>
      <c r="F530" s="24" t="s">
        <v>173</v>
      </c>
      <c r="G530" s="15" t="n">
        <f aca="false">IFERROR(INDEX(Decisions!$K$2:$K$122,MATCH(E530,Decisions!$A$2:$A$122,0)),"")</f>
        <v>0</v>
      </c>
    </row>
    <row r="531" customFormat="false" ht="15" hidden="false" customHeight="false" outlineLevel="0" collapsed="false">
      <c r="A531" s="15" t="s">
        <v>1190</v>
      </c>
      <c r="B531" s="15" t="s">
        <v>68</v>
      </c>
      <c r="C531" s="15" t="s">
        <v>1184</v>
      </c>
      <c r="D531" s="15" t="s">
        <v>1189</v>
      </c>
      <c r="E531" s="15" t="s">
        <v>170</v>
      </c>
      <c r="F531" s="24" t="s">
        <v>173</v>
      </c>
      <c r="G531" s="15" t="n">
        <f aca="false">IFERROR(INDEX(Decisions!$K$2:$K$122,MATCH(E531,Decisions!$A$2:$A$122,0)),"")</f>
        <v>0</v>
      </c>
    </row>
    <row r="532" customFormat="false" ht="15" hidden="false" customHeight="false" outlineLevel="0" collapsed="false">
      <c r="A532" s="15" t="s">
        <v>1191</v>
      </c>
      <c r="B532" s="15" t="s">
        <v>68</v>
      </c>
      <c r="C532" s="15" t="s">
        <v>1192</v>
      </c>
      <c r="D532" s="15" t="s">
        <v>1193</v>
      </c>
      <c r="E532" s="15" t="s">
        <v>101</v>
      </c>
      <c r="F532" s="23" t="s">
        <v>97</v>
      </c>
      <c r="G532" s="15" t="n">
        <f aca="false">IFERROR(INDEX(Decisions!$K$2:$K$122,MATCH(E532,Decisions!$A$2:$A$122,0)),"")</f>
        <v>0</v>
      </c>
    </row>
    <row r="533" customFormat="false" ht="15" hidden="false" customHeight="false" outlineLevel="0" collapsed="false">
      <c r="A533" s="15" t="s">
        <v>1194</v>
      </c>
      <c r="B533" s="15" t="s">
        <v>68</v>
      </c>
      <c r="C533" s="15" t="s">
        <v>1192</v>
      </c>
      <c r="D533" s="15" t="s">
        <v>1193</v>
      </c>
      <c r="E533" s="15" t="s">
        <v>104</v>
      </c>
      <c r="F533" s="23" t="s">
        <v>97</v>
      </c>
      <c r="G533" s="15" t="n">
        <f aca="false">IFERROR(INDEX(Decisions!$K$2:$K$122,MATCH(E533,Decisions!$A$2:$A$122,0)),"")</f>
        <v>0</v>
      </c>
    </row>
    <row r="534" customFormat="false" ht="15" hidden="false" customHeight="false" outlineLevel="0" collapsed="false">
      <c r="A534" s="15" t="s">
        <v>1195</v>
      </c>
      <c r="B534" s="15" t="s">
        <v>68</v>
      </c>
      <c r="C534" s="15" t="s">
        <v>1192</v>
      </c>
      <c r="D534" s="15" t="s">
        <v>1193</v>
      </c>
      <c r="E534" s="15" t="s">
        <v>201</v>
      </c>
      <c r="F534" s="24" t="s">
        <v>173</v>
      </c>
      <c r="G534" s="15" t="n">
        <f aca="false">IFERROR(INDEX(Decisions!$K$2:$K$122,MATCH(E534,Decisions!$A$2:$A$122,0)),"")</f>
        <v>0</v>
      </c>
    </row>
    <row r="535" customFormat="false" ht="15" hidden="false" customHeight="false" outlineLevel="0" collapsed="false">
      <c r="A535" s="15" t="s">
        <v>1196</v>
      </c>
      <c r="B535" s="15" t="s">
        <v>68</v>
      </c>
      <c r="C535" s="15" t="s">
        <v>1192</v>
      </c>
      <c r="D535" s="15" t="s">
        <v>1193</v>
      </c>
      <c r="E535" s="15" t="s">
        <v>209</v>
      </c>
      <c r="F535" s="24" t="s">
        <v>173</v>
      </c>
      <c r="G535" s="15" t="n">
        <f aca="false">IFERROR(INDEX(Decisions!$K$2:$K$122,MATCH(E535,Decisions!$A$2:$A$122,0)),"")</f>
        <v>0</v>
      </c>
    </row>
    <row r="536" customFormat="false" ht="15" hidden="false" customHeight="false" outlineLevel="0" collapsed="false">
      <c r="A536" s="15" t="s">
        <v>1197</v>
      </c>
      <c r="B536" s="15" t="s">
        <v>68</v>
      </c>
      <c r="C536" s="15" t="s">
        <v>1198</v>
      </c>
      <c r="D536" s="15" t="s">
        <v>598</v>
      </c>
      <c r="E536" s="15" t="s">
        <v>110</v>
      </c>
      <c r="F536" s="23" t="s">
        <v>97</v>
      </c>
      <c r="G536" s="15" t="n">
        <f aca="false">IFERROR(INDEX(Decisions!$K$2:$K$122,MATCH(E536,Decisions!$A$2:$A$122,0)),"")</f>
        <v>0</v>
      </c>
    </row>
    <row r="537" customFormat="false" ht="15" hidden="false" customHeight="false" outlineLevel="0" collapsed="false">
      <c r="A537" s="15" t="s">
        <v>1199</v>
      </c>
      <c r="B537" s="15" t="s">
        <v>68</v>
      </c>
      <c r="C537" s="15" t="s">
        <v>1198</v>
      </c>
      <c r="D537" s="15" t="s">
        <v>598</v>
      </c>
      <c r="E537" s="15" t="s">
        <v>198</v>
      </c>
      <c r="F537" s="24" t="s">
        <v>173</v>
      </c>
      <c r="G537" s="15" t="n">
        <f aca="false">IFERROR(INDEX(Decisions!$K$2:$K$122,MATCH(E537,Decisions!$A$2:$A$122,0)),"")</f>
        <v>0</v>
      </c>
    </row>
    <row r="538" customFormat="false" ht="15" hidden="false" customHeight="false" outlineLevel="0" collapsed="false">
      <c r="A538" s="15" t="s">
        <v>1200</v>
      </c>
      <c r="B538" s="15" t="s">
        <v>68</v>
      </c>
      <c r="C538" s="15" t="s">
        <v>1201</v>
      </c>
      <c r="D538" s="15" t="s">
        <v>1202</v>
      </c>
      <c r="E538" s="15" t="s">
        <v>177</v>
      </c>
      <c r="F538" s="24" t="s">
        <v>173</v>
      </c>
      <c r="G538" s="15" t="n">
        <f aca="false">IFERROR(INDEX(Decisions!$K$2:$K$122,MATCH(E538,Decisions!$A$2:$A$122,0)),"")</f>
        <v>0</v>
      </c>
    </row>
    <row r="539" customFormat="false" ht="15" hidden="false" customHeight="false" outlineLevel="0" collapsed="false">
      <c r="A539" s="15" t="s">
        <v>1203</v>
      </c>
      <c r="B539" s="15" t="s">
        <v>68</v>
      </c>
      <c r="C539" s="15" t="s">
        <v>1204</v>
      </c>
      <c r="D539" s="15" t="s">
        <v>1205</v>
      </c>
      <c r="E539" s="15" t="s">
        <v>177</v>
      </c>
      <c r="F539" s="24" t="s">
        <v>173</v>
      </c>
      <c r="G539" s="15" t="n">
        <f aca="false">IFERROR(INDEX(Decisions!$K$2:$K$122,MATCH(E539,Decisions!$A$2:$A$122,0)),"")</f>
        <v>0</v>
      </c>
    </row>
    <row r="540" customFormat="false" ht="15" hidden="false" customHeight="false" outlineLevel="0" collapsed="false">
      <c r="A540" s="15" t="s">
        <v>1206</v>
      </c>
      <c r="B540" s="15" t="s">
        <v>68</v>
      </c>
      <c r="C540" s="15" t="s">
        <v>1207</v>
      </c>
      <c r="D540" s="15" t="s">
        <v>1208</v>
      </c>
      <c r="E540" s="15" t="s">
        <v>177</v>
      </c>
      <c r="F540" s="24" t="s">
        <v>173</v>
      </c>
      <c r="G540" s="15" t="n">
        <f aca="false">IFERROR(INDEX(Decisions!$K$2:$K$122,MATCH(E540,Decisions!$A$2:$A$122,0)),"")</f>
        <v>0</v>
      </c>
    </row>
    <row r="541" customFormat="false" ht="15" hidden="false" customHeight="false" outlineLevel="0" collapsed="false">
      <c r="A541" s="15" t="s">
        <v>1209</v>
      </c>
      <c r="B541" s="15" t="s">
        <v>68</v>
      </c>
      <c r="C541" s="15" t="s">
        <v>1207</v>
      </c>
      <c r="D541" s="15" t="s">
        <v>1210</v>
      </c>
      <c r="E541" s="15" t="s">
        <v>170</v>
      </c>
      <c r="F541" s="24" t="s">
        <v>173</v>
      </c>
      <c r="G541" s="15" t="n">
        <f aca="false">IFERROR(INDEX(Decisions!$K$2:$K$122,MATCH(E541,Decisions!$A$2:$A$122,0)),"")</f>
        <v>0</v>
      </c>
    </row>
    <row r="542" customFormat="false" ht="15" hidden="false" customHeight="false" outlineLevel="0" collapsed="false">
      <c r="A542" s="15" t="s">
        <v>1211</v>
      </c>
      <c r="B542" s="15" t="s">
        <v>68</v>
      </c>
      <c r="C542" s="15" t="s">
        <v>1212</v>
      </c>
      <c r="D542" s="15" t="s">
        <v>1213</v>
      </c>
      <c r="E542" s="15" t="s">
        <v>240</v>
      </c>
      <c r="F542" s="24" t="s">
        <v>173</v>
      </c>
      <c r="G542" s="15" t="n">
        <f aca="false">IFERROR(INDEX(Decisions!$K$2:$K$122,MATCH(E542,Decisions!$A$2:$A$122,0)),"")</f>
        <v>0</v>
      </c>
    </row>
    <row r="543" customFormat="false" ht="15" hidden="false" customHeight="false" outlineLevel="0" collapsed="false">
      <c r="A543" s="15" t="s">
        <v>1214</v>
      </c>
      <c r="B543" s="15" t="s">
        <v>68</v>
      </c>
      <c r="C543" s="15" t="s">
        <v>1212</v>
      </c>
      <c r="D543" s="15" t="s">
        <v>1213</v>
      </c>
      <c r="E543" s="15" t="s">
        <v>245</v>
      </c>
      <c r="F543" s="24" t="s">
        <v>173</v>
      </c>
      <c r="G543" s="15" t="n">
        <f aca="false">IFERROR(INDEX(Decisions!$K$2:$K$122,MATCH(E543,Decisions!$A$2:$A$122,0)),"")</f>
        <v>0</v>
      </c>
    </row>
    <row r="544" customFormat="false" ht="15" hidden="false" customHeight="false" outlineLevel="0" collapsed="false">
      <c r="A544" s="15" t="s">
        <v>1215</v>
      </c>
      <c r="B544" s="15" t="s">
        <v>68</v>
      </c>
      <c r="C544" s="15" t="s">
        <v>1216</v>
      </c>
      <c r="D544" s="15" t="s">
        <v>1217</v>
      </c>
      <c r="E544" s="15" t="s">
        <v>177</v>
      </c>
      <c r="F544" s="24" t="s">
        <v>173</v>
      </c>
      <c r="G544" s="15" t="n">
        <f aca="false">IFERROR(INDEX(Decisions!$K$2:$K$122,MATCH(E544,Decisions!$A$2:$A$122,0)),"")</f>
        <v>0</v>
      </c>
    </row>
    <row r="545" customFormat="false" ht="15" hidden="false" customHeight="false" outlineLevel="0" collapsed="false">
      <c r="A545" s="15" t="s">
        <v>1218</v>
      </c>
      <c r="B545" s="15" t="s">
        <v>68</v>
      </c>
      <c r="C545" s="15" t="s">
        <v>1219</v>
      </c>
      <c r="D545" s="15" t="s">
        <v>1220</v>
      </c>
      <c r="E545" s="15" t="s">
        <v>235</v>
      </c>
      <c r="F545" s="24" t="s">
        <v>173</v>
      </c>
      <c r="G545" s="15" t="n">
        <f aca="false">IFERROR(INDEX(Decisions!$K$2:$K$122,MATCH(E545,Decisions!$A$2:$A$122,0)),"")</f>
        <v>0</v>
      </c>
    </row>
    <row r="546" customFormat="false" ht="15" hidden="false" customHeight="false" outlineLevel="0" collapsed="false">
      <c r="A546" s="15" t="s">
        <v>1221</v>
      </c>
      <c r="B546" s="15" t="s">
        <v>68</v>
      </c>
      <c r="C546" s="15" t="s">
        <v>1219</v>
      </c>
      <c r="D546" s="15" t="s">
        <v>1220</v>
      </c>
      <c r="E546" s="15" t="s">
        <v>187</v>
      </c>
      <c r="F546" s="24" t="s">
        <v>173</v>
      </c>
      <c r="G546" s="15" t="n">
        <f aca="false">IFERROR(INDEX(Decisions!$K$2:$K$122,MATCH(E546,Decisions!$A$2:$A$122,0)),"")</f>
        <v>0</v>
      </c>
    </row>
    <row r="547" customFormat="false" ht="15" hidden="false" customHeight="false" outlineLevel="0" collapsed="false">
      <c r="A547" s="15" t="s">
        <v>1222</v>
      </c>
      <c r="B547" s="15" t="s">
        <v>68</v>
      </c>
      <c r="C547" s="15" t="s">
        <v>1219</v>
      </c>
      <c r="D547" s="15" t="s">
        <v>1220</v>
      </c>
      <c r="E547" s="15" t="s">
        <v>170</v>
      </c>
      <c r="F547" s="24" t="s">
        <v>173</v>
      </c>
      <c r="G547" s="15" t="n">
        <f aca="false">IFERROR(INDEX(Decisions!$K$2:$K$122,MATCH(E547,Decisions!$A$2:$A$122,0)),"")</f>
        <v>0</v>
      </c>
    </row>
    <row r="548" customFormat="false" ht="15" hidden="false" customHeight="false" outlineLevel="0" collapsed="false">
      <c r="A548" s="15" t="s">
        <v>1223</v>
      </c>
      <c r="B548" s="15" t="s">
        <v>68</v>
      </c>
      <c r="C548" s="15" t="s">
        <v>1219</v>
      </c>
      <c r="D548" s="15" t="s">
        <v>1224</v>
      </c>
      <c r="E548" s="15" t="s">
        <v>255</v>
      </c>
      <c r="F548" s="24" t="s">
        <v>173</v>
      </c>
      <c r="G548" s="15" t="n">
        <f aca="false">IFERROR(INDEX(Decisions!$K$2:$K$122,MATCH(E548,Decisions!$A$2:$A$122,0)),"")</f>
        <v>0</v>
      </c>
    </row>
    <row r="549" customFormat="false" ht="15" hidden="false" customHeight="false" outlineLevel="0" collapsed="false">
      <c r="A549" s="15" t="s">
        <v>1225</v>
      </c>
      <c r="B549" s="15" t="s">
        <v>68</v>
      </c>
      <c r="C549" s="15" t="s">
        <v>1219</v>
      </c>
      <c r="D549" s="15" t="s">
        <v>1224</v>
      </c>
      <c r="E549" s="15" t="s">
        <v>212</v>
      </c>
      <c r="F549" s="24" t="s">
        <v>173</v>
      </c>
      <c r="G549" s="15" t="n">
        <f aca="false">IFERROR(INDEX(Decisions!$K$2:$K$122,MATCH(E549,Decisions!$A$2:$A$122,0)),"")</f>
        <v>0</v>
      </c>
    </row>
    <row r="550" customFormat="false" ht="15" hidden="false" customHeight="false" outlineLevel="0" collapsed="false">
      <c r="A550" s="15" t="s">
        <v>1226</v>
      </c>
      <c r="B550" s="15" t="s">
        <v>68</v>
      </c>
      <c r="C550" s="15" t="s">
        <v>1219</v>
      </c>
      <c r="D550" s="15" t="s">
        <v>1224</v>
      </c>
      <c r="E550" s="15" t="s">
        <v>187</v>
      </c>
      <c r="F550" s="24" t="s">
        <v>173</v>
      </c>
      <c r="G550" s="15" t="n">
        <f aca="false">IFERROR(INDEX(Decisions!$K$2:$K$122,MATCH(E550,Decisions!$A$2:$A$122,0)),"")</f>
        <v>0</v>
      </c>
    </row>
    <row r="551" customFormat="false" ht="15" hidden="false" customHeight="false" outlineLevel="0" collapsed="false">
      <c r="A551" s="15" t="s">
        <v>1227</v>
      </c>
      <c r="B551" s="15" t="s">
        <v>68</v>
      </c>
      <c r="C551" s="15" t="s">
        <v>1219</v>
      </c>
      <c r="D551" s="15" t="s">
        <v>1224</v>
      </c>
      <c r="E551" s="15" t="s">
        <v>170</v>
      </c>
      <c r="F551" s="24" t="s">
        <v>173</v>
      </c>
      <c r="G551" s="15" t="n">
        <f aca="false">IFERROR(INDEX(Decisions!$K$2:$K$122,MATCH(E551,Decisions!$A$2:$A$122,0)),"")</f>
        <v>0</v>
      </c>
    </row>
    <row r="552" customFormat="false" ht="15" hidden="false" customHeight="false" outlineLevel="0" collapsed="false">
      <c r="A552" s="15" t="s">
        <v>1228</v>
      </c>
      <c r="B552" s="15" t="s">
        <v>68</v>
      </c>
      <c r="C552" s="15" t="s">
        <v>1219</v>
      </c>
      <c r="D552" s="15" t="s">
        <v>1229</v>
      </c>
      <c r="E552" s="15" t="s">
        <v>290</v>
      </c>
      <c r="F552" s="24" t="s">
        <v>173</v>
      </c>
      <c r="G552" s="15" t="n">
        <f aca="false">IFERROR(INDEX(Decisions!$K$2:$K$122,MATCH(E552,Decisions!$A$2:$A$122,0)),"")</f>
        <v>0</v>
      </c>
    </row>
    <row r="553" customFormat="false" ht="15" hidden="false" customHeight="false" outlineLevel="0" collapsed="false">
      <c r="A553" s="15" t="s">
        <v>1230</v>
      </c>
      <c r="B553" s="15" t="s">
        <v>68</v>
      </c>
      <c r="C553" s="15" t="s">
        <v>1219</v>
      </c>
      <c r="D553" s="15" t="s">
        <v>1231</v>
      </c>
      <c r="E553" s="15" t="s">
        <v>177</v>
      </c>
      <c r="F553" s="24" t="s">
        <v>173</v>
      </c>
      <c r="G553" s="15" t="n">
        <f aca="false">IFERROR(INDEX(Decisions!$K$2:$K$122,MATCH(E553,Decisions!$A$2:$A$122,0)),"")</f>
        <v>0</v>
      </c>
    </row>
    <row r="554" customFormat="false" ht="15" hidden="false" customHeight="false" outlineLevel="0" collapsed="false">
      <c r="A554" s="15" t="s">
        <v>1232</v>
      </c>
      <c r="B554" s="15" t="s">
        <v>68</v>
      </c>
      <c r="C554" s="15" t="s">
        <v>1233</v>
      </c>
      <c r="D554" s="15" t="s">
        <v>1234</v>
      </c>
      <c r="E554" s="15" t="s">
        <v>70</v>
      </c>
      <c r="F554" s="25" t="s">
        <v>26</v>
      </c>
      <c r="G554" s="15" t="str">
        <f aca="false">IFERROR(INDEX(Decisions!$K$2:$K$122,MATCH(E554,Decisions!$A$2:$A$122,0)),"")</f>
        <v>drop</v>
      </c>
    </row>
    <row r="555" customFormat="false" ht="15" hidden="false" customHeight="false" outlineLevel="0" collapsed="false">
      <c r="A555" s="15" t="s">
        <v>1235</v>
      </c>
      <c r="B555" s="15" t="s">
        <v>68</v>
      </c>
      <c r="C555" s="15" t="s">
        <v>1233</v>
      </c>
      <c r="D555" s="15" t="s">
        <v>1234</v>
      </c>
      <c r="E555" s="15" t="s">
        <v>120</v>
      </c>
      <c r="F555" s="23" t="s">
        <v>97</v>
      </c>
      <c r="G555" s="15" t="n">
        <f aca="false">IFERROR(INDEX(Decisions!$K$2:$K$122,MATCH(E555,Decisions!$A$2:$A$122,0)),"")</f>
        <v>0</v>
      </c>
    </row>
    <row r="556" customFormat="false" ht="15" hidden="false" customHeight="false" outlineLevel="0" collapsed="false">
      <c r="A556" s="15" t="s">
        <v>1236</v>
      </c>
      <c r="B556" s="15" t="s">
        <v>68</v>
      </c>
      <c r="C556" s="15" t="s">
        <v>1233</v>
      </c>
      <c r="D556" s="15" t="s">
        <v>1234</v>
      </c>
      <c r="E556" s="15" t="s">
        <v>122</v>
      </c>
      <c r="F556" s="23" t="s">
        <v>97</v>
      </c>
      <c r="G556" s="15" t="n">
        <f aca="false">IFERROR(INDEX(Decisions!$K$2:$K$122,MATCH(E556,Decisions!$A$2:$A$122,0)),"")</f>
        <v>0</v>
      </c>
    </row>
    <row r="557" customFormat="false" ht="15" hidden="false" customHeight="false" outlineLevel="0" collapsed="false">
      <c r="A557" s="15" t="s">
        <v>1237</v>
      </c>
      <c r="B557" s="15" t="s">
        <v>68</v>
      </c>
      <c r="C557" s="15" t="s">
        <v>1233</v>
      </c>
      <c r="D557" s="15" t="s">
        <v>1234</v>
      </c>
      <c r="E557" s="15" t="s">
        <v>63</v>
      </c>
      <c r="F557" s="25" t="s">
        <v>26</v>
      </c>
      <c r="G557" s="15" t="str">
        <f aca="false">IFERROR(INDEX(Decisions!$K$2:$K$122,MATCH(E557,Decisions!$A$2:$A$122,0)),"")</f>
        <v>drop</v>
      </c>
    </row>
    <row r="558" customFormat="false" ht="15" hidden="false" customHeight="false" outlineLevel="0" collapsed="false">
      <c r="A558" s="15" t="s">
        <v>1238</v>
      </c>
      <c r="B558" s="15" t="s">
        <v>68</v>
      </c>
      <c r="C558" s="15" t="s">
        <v>1233</v>
      </c>
      <c r="D558" s="15" t="s">
        <v>1234</v>
      </c>
      <c r="E558" s="15" t="s">
        <v>124</v>
      </c>
      <c r="F558" s="23" t="s">
        <v>97</v>
      </c>
      <c r="G558" s="15" t="n">
        <f aca="false">IFERROR(INDEX(Decisions!$K$2:$K$122,MATCH(E558,Decisions!$A$2:$A$122,0)),"")</f>
        <v>0</v>
      </c>
    </row>
    <row r="559" customFormat="false" ht="15" hidden="false" customHeight="false" outlineLevel="0" collapsed="false">
      <c r="A559" s="15" t="s">
        <v>1239</v>
      </c>
      <c r="B559" s="15" t="s">
        <v>68</v>
      </c>
      <c r="C559" s="15" t="s">
        <v>1233</v>
      </c>
      <c r="D559" s="15" t="s">
        <v>1234</v>
      </c>
      <c r="E559" s="15" t="s">
        <v>262</v>
      </c>
      <c r="F559" s="24" t="s">
        <v>173</v>
      </c>
      <c r="G559" s="15" t="n">
        <f aca="false">IFERROR(INDEX(Decisions!$K$2:$K$122,MATCH(E559,Decisions!$A$2:$A$122,0)),"")</f>
        <v>0</v>
      </c>
    </row>
    <row r="560" customFormat="false" ht="15" hidden="false" customHeight="false" outlineLevel="0" collapsed="false">
      <c r="A560" s="15" t="s">
        <v>1240</v>
      </c>
      <c r="B560" s="15" t="s">
        <v>68</v>
      </c>
      <c r="C560" s="15" t="s">
        <v>1233</v>
      </c>
      <c r="D560" s="15" t="s">
        <v>1234</v>
      </c>
      <c r="E560" s="15" t="s">
        <v>247</v>
      </c>
      <c r="F560" s="24" t="s">
        <v>173</v>
      </c>
      <c r="G560" s="15" t="n">
        <f aca="false">IFERROR(INDEX(Decisions!$K$2:$K$122,MATCH(E560,Decisions!$A$2:$A$122,0)),"")</f>
        <v>0</v>
      </c>
    </row>
    <row r="561" customFormat="false" ht="15" hidden="false" customHeight="false" outlineLevel="0" collapsed="false">
      <c r="A561" s="15" t="s">
        <v>1241</v>
      </c>
      <c r="B561" s="15" t="s">
        <v>68</v>
      </c>
      <c r="C561" s="15" t="s">
        <v>1233</v>
      </c>
      <c r="D561" s="15" t="s">
        <v>1234</v>
      </c>
      <c r="E561" s="15" t="s">
        <v>251</v>
      </c>
      <c r="F561" s="24" t="s">
        <v>173</v>
      </c>
      <c r="G561" s="15" t="n">
        <f aca="false">IFERROR(INDEX(Decisions!$K$2:$K$122,MATCH(E561,Decisions!$A$2:$A$122,0)),"")</f>
        <v>0</v>
      </c>
    </row>
    <row r="562" customFormat="false" ht="15" hidden="false" customHeight="false" outlineLevel="0" collapsed="false">
      <c r="A562" s="15" t="s">
        <v>1242</v>
      </c>
      <c r="B562" s="15" t="s">
        <v>68</v>
      </c>
      <c r="C562" s="15" t="s">
        <v>1233</v>
      </c>
      <c r="D562" s="15" t="s">
        <v>1234</v>
      </c>
      <c r="E562" s="15" t="s">
        <v>126</v>
      </c>
      <c r="F562" s="23" t="s">
        <v>97</v>
      </c>
      <c r="G562" s="15" t="n">
        <f aca="false">IFERROR(INDEX(Decisions!$K$2:$K$122,MATCH(E562,Decisions!$A$2:$A$122,0)),"")</f>
        <v>0</v>
      </c>
    </row>
    <row r="563" customFormat="false" ht="15" hidden="false" customHeight="false" outlineLevel="0" collapsed="false">
      <c r="A563" s="15" t="s">
        <v>1243</v>
      </c>
      <c r="B563" s="15" t="s">
        <v>68</v>
      </c>
      <c r="C563" s="15" t="s">
        <v>1233</v>
      </c>
      <c r="D563" s="15" t="s">
        <v>1234</v>
      </c>
      <c r="E563" s="15" t="s">
        <v>130</v>
      </c>
      <c r="F563" s="23" t="s">
        <v>97</v>
      </c>
      <c r="G563" s="15" t="n">
        <f aca="false">IFERROR(INDEX(Decisions!$K$2:$K$122,MATCH(E563,Decisions!$A$2:$A$122,0)),"")</f>
        <v>0</v>
      </c>
    </row>
    <row r="564" customFormat="false" ht="15" hidden="false" customHeight="false" outlineLevel="0" collapsed="false">
      <c r="A564" s="15" t="s">
        <v>1244</v>
      </c>
      <c r="B564" s="15" t="s">
        <v>68</v>
      </c>
      <c r="C564" s="15" t="s">
        <v>1245</v>
      </c>
      <c r="D564" s="15" t="s">
        <v>1246</v>
      </c>
      <c r="E564" s="15" t="s">
        <v>170</v>
      </c>
      <c r="F564" s="24" t="s">
        <v>173</v>
      </c>
      <c r="G564" s="15" t="n">
        <f aca="false">IFERROR(INDEX(Decisions!$K$2:$K$122,MATCH(E564,Decisions!$A$2:$A$122,0)),"")</f>
        <v>0</v>
      </c>
    </row>
    <row r="565" customFormat="false" ht="15" hidden="false" customHeight="false" outlineLevel="0" collapsed="false">
      <c r="A565" s="15" t="s">
        <v>1247</v>
      </c>
      <c r="B565" s="15" t="s">
        <v>68</v>
      </c>
      <c r="C565" s="15" t="s">
        <v>1248</v>
      </c>
      <c r="D565" s="15" t="s">
        <v>1249</v>
      </c>
      <c r="E565" s="15" t="s">
        <v>177</v>
      </c>
      <c r="F565" s="24" t="s">
        <v>173</v>
      </c>
      <c r="G565" s="15" t="n">
        <f aca="false">IFERROR(INDEX(Decisions!$K$2:$K$122,MATCH(E565,Decisions!$A$2:$A$122,0)),"")</f>
        <v>0</v>
      </c>
    </row>
    <row r="566" customFormat="false" ht="15" hidden="false" customHeight="false" outlineLevel="0" collapsed="false">
      <c r="A566" s="15" t="s">
        <v>1250</v>
      </c>
      <c r="B566" s="15" t="s">
        <v>68</v>
      </c>
      <c r="C566" s="15" t="s">
        <v>1248</v>
      </c>
      <c r="D566" s="15" t="s">
        <v>1251</v>
      </c>
      <c r="E566" s="15" t="s">
        <v>177</v>
      </c>
      <c r="F566" s="24" t="s">
        <v>173</v>
      </c>
      <c r="G566" s="15" t="n">
        <f aca="false">IFERROR(INDEX(Decisions!$K$2:$K$122,MATCH(E566,Decisions!$A$2:$A$122,0)),"")</f>
        <v>0</v>
      </c>
    </row>
    <row r="567" customFormat="false" ht="15" hidden="false" customHeight="false" outlineLevel="0" collapsed="false">
      <c r="A567" s="15" t="s">
        <v>1252</v>
      </c>
      <c r="B567" s="15" t="s">
        <v>68</v>
      </c>
      <c r="C567" s="15" t="s">
        <v>1248</v>
      </c>
      <c r="D567" s="15" t="s">
        <v>1253</v>
      </c>
      <c r="E567" s="15" t="s">
        <v>264</v>
      </c>
      <c r="F567" s="24" t="s">
        <v>173</v>
      </c>
      <c r="G567" s="15" t="n">
        <f aca="false">IFERROR(INDEX(Decisions!$K$2:$K$122,MATCH(E567,Decisions!$A$2:$A$122,0)),"")</f>
        <v>0</v>
      </c>
    </row>
    <row r="568" customFormat="false" ht="15" hidden="false" customHeight="false" outlineLevel="0" collapsed="false">
      <c r="A568" s="15" t="s">
        <v>1254</v>
      </c>
      <c r="B568" s="15" t="s">
        <v>68</v>
      </c>
      <c r="C568" s="15" t="s">
        <v>1248</v>
      </c>
      <c r="D568" s="15" t="s">
        <v>1255</v>
      </c>
      <c r="E568" s="15" t="s">
        <v>264</v>
      </c>
      <c r="F568" s="24" t="s">
        <v>173</v>
      </c>
      <c r="G568" s="15" t="n">
        <f aca="false">IFERROR(INDEX(Decisions!$K$2:$K$122,MATCH(E568,Decisions!$A$2:$A$122,0)),"")</f>
        <v>0</v>
      </c>
    </row>
    <row r="569" customFormat="false" ht="15" hidden="false" customHeight="false" outlineLevel="0" collapsed="false">
      <c r="A569" s="15" t="s">
        <v>1256</v>
      </c>
      <c r="B569" s="15" t="s">
        <v>68</v>
      </c>
      <c r="C569" s="15" t="s">
        <v>1245</v>
      </c>
      <c r="D569" s="15" t="s">
        <v>1257</v>
      </c>
      <c r="E569" s="15" t="s">
        <v>101</v>
      </c>
      <c r="F569" s="23" t="s">
        <v>97</v>
      </c>
      <c r="G569" s="15" t="n">
        <f aca="false">IFERROR(INDEX(Decisions!$K$2:$K$122,MATCH(E569,Decisions!$A$2:$A$122,0)),"")</f>
        <v>0</v>
      </c>
    </row>
    <row r="570" customFormat="false" ht="15" hidden="false" customHeight="false" outlineLevel="0" collapsed="false">
      <c r="A570" s="15" t="s">
        <v>1258</v>
      </c>
      <c r="B570" s="15" t="s">
        <v>68</v>
      </c>
      <c r="C570" s="15" t="s">
        <v>1245</v>
      </c>
      <c r="D570" s="15" t="s">
        <v>1257</v>
      </c>
      <c r="E570" s="15" t="s">
        <v>104</v>
      </c>
      <c r="F570" s="23" t="s">
        <v>97</v>
      </c>
      <c r="G570" s="15" t="n">
        <f aca="false">IFERROR(INDEX(Decisions!$K$2:$K$122,MATCH(E570,Decisions!$A$2:$A$122,0)),"")</f>
        <v>0</v>
      </c>
    </row>
    <row r="571" customFormat="false" ht="15" hidden="false" customHeight="false" outlineLevel="0" collapsed="false">
      <c r="A571" s="15" t="s">
        <v>1259</v>
      </c>
      <c r="B571" s="15" t="s">
        <v>68</v>
      </c>
      <c r="C571" s="15" t="s">
        <v>1245</v>
      </c>
      <c r="D571" s="15" t="s">
        <v>1257</v>
      </c>
      <c r="E571" s="15" t="s">
        <v>201</v>
      </c>
      <c r="F571" s="24" t="s">
        <v>173</v>
      </c>
      <c r="G571" s="15" t="n">
        <f aca="false">IFERROR(INDEX(Decisions!$K$2:$K$122,MATCH(E571,Decisions!$A$2:$A$122,0)),"")</f>
        <v>0</v>
      </c>
    </row>
    <row r="572" customFormat="false" ht="15" hidden="false" customHeight="false" outlineLevel="0" collapsed="false">
      <c r="A572" s="15" t="s">
        <v>1260</v>
      </c>
      <c r="B572" s="15" t="s">
        <v>68</v>
      </c>
      <c r="C572" s="15" t="s">
        <v>1245</v>
      </c>
      <c r="D572" s="15" t="s">
        <v>1257</v>
      </c>
      <c r="E572" s="15" t="s">
        <v>206</v>
      </c>
      <c r="F572" s="24" t="s">
        <v>173</v>
      </c>
      <c r="G572" s="15" t="n">
        <f aca="false">IFERROR(INDEX(Decisions!$K$2:$K$122,MATCH(E572,Decisions!$A$2:$A$122,0)),"")</f>
        <v>0</v>
      </c>
    </row>
    <row r="573" customFormat="false" ht="15" hidden="false" customHeight="false" outlineLevel="0" collapsed="false">
      <c r="A573" s="15" t="s">
        <v>1261</v>
      </c>
      <c r="B573" s="15" t="s">
        <v>68</v>
      </c>
      <c r="C573" s="15" t="s">
        <v>1262</v>
      </c>
      <c r="D573" s="15" t="s">
        <v>1263</v>
      </c>
      <c r="E573" s="15" t="s">
        <v>324</v>
      </c>
      <c r="F573" s="24" t="s">
        <v>173</v>
      </c>
      <c r="G573" s="15" t="n">
        <f aca="false">IFERROR(INDEX(Decisions!$K$2:$K$122,MATCH(E573,Decisions!$A$2:$A$122,0)),"")</f>
        <v>0</v>
      </c>
    </row>
    <row r="574" customFormat="false" ht="15" hidden="false" customHeight="false" outlineLevel="0" collapsed="false">
      <c r="A574" s="15" t="s">
        <v>1264</v>
      </c>
      <c r="B574" s="15" t="s">
        <v>68</v>
      </c>
      <c r="C574" s="15" t="s">
        <v>1262</v>
      </c>
      <c r="D574" s="15" t="s">
        <v>1263</v>
      </c>
      <c r="E574" s="15" t="s">
        <v>80</v>
      </c>
      <c r="F574" s="25" t="s">
        <v>26</v>
      </c>
      <c r="G574" s="15" t="str">
        <f aca="false">IFERROR(INDEX(Decisions!$K$2:$K$122,MATCH(E574,Decisions!$A$2:$A$122,0)),"")</f>
        <v>keep</v>
      </c>
    </row>
    <row r="575" customFormat="false" ht="15" hidden="false" customHeight="false" outlineLevel="0" collapsed="false">
      <c r="A575" s="15" t="s">
        <v>1265</v>
      </c>
      <c r="B575" s="15" t="s">
        <v>68</v>
      </c>
      <c r="C575" s="15" t="s">
        <v>1262</v>
      </c>
      <c r="D575" s="15" t="s">
        <v>1263</v>
      </c>
      <c r="E575" s="15" t="s">
        <v>347</v>
      </c>
      <c r="F575" s="24" t="s">
        <v>173</v>
      </c>
      <c r="G575" s="15" t="n">
        <f aca="false">IFERROR(INDEX(Decisions!$K$2:$K$122,MATCH(E575,Decisions!$A$2:$A$122,0)),"")</f>
        <v>0</v>
      </c>
    </row>
    <row r="576" customFormat="false" ht="15" hidden="false" customHeight="false" outlineLevel="0" collapsed="false">
      <c r="A576" s="15" t="s">
        <v>1266</v>
      </c>
      <c r="B576" s="15" t="s">
        <v>68</v>
      </c>
      <c r="C576" s="15" t="s">
        <v>1262</v>
      </c>
      <c r="D576" s="15" t="s">
        <v>1263</v>
      </c>
      <c r="E576" s="15" t="s">
        <v>156</v>
      </c>
      <c r="F576" s="23" t="s">
        <v>97</v>
      </c>
      <c r="G576" s="15" t="n">
        <f aca="false">IFERROR(INDEX(Decisions!$K$2:$K$122,MATCH(E576,Decisions!$A$2:$A$122,0)),"")</f>
        <v>0</v>
      </c>
    </row>
    <row r="577" customFormat="false" ht="15" hidden="false" customHeight="false" outlineLevel="0" collapsed="false">
      <c r="A577" s="15" t="s">
        <v>1267</v>
      </c>
      <c r="B577" s="15" t="s">
        <v>68</v>
      </c>
      <c r="C577" s="15" t="s">
        <v>1262</v>
      </c>
      <c r="D577" s="15" t="s">
        <v>1268</v>
      </c>
      <c r="E577" s="15" t="s">
        <v>337</v>
      </c>
      <c r="F577" s="24" t="s">
        <v>173</v>
      </c>
      <c r="G577" s="15" t="n">
        <f aca="false">IFERROR(INDEX(Decisions!$K$2:$K$122,MATCH(E577,Decisions!$A$2:$A$122,0)),"")</f>
        <v>0</v>
      </c>
    </row>
    <row r="578" customFormat="false" ht="15" hidden="false" customHeight="false" outlineLevel="0" collapsed="false">
      <c r="A578" s="15" t="s">
        <v>1269</v>
      </c>
      <c r="B578" s="15" t="s">
        <v>68</v>
      </c>
      <c r="C578" s="15" t="s">
        <v>1262</v>
      </c>
      <c r="D578" s="15" t="s">
        <v>1268</v>
      </c>
      <c r="E578" s="15" t="s">
        <v>371</v>
      </c>
      <c r="F578" s="24" t="s">
        <v>173</v>
      </c>
      <c r="G578" s="15" t="n">
        <f aca="false">IFERROR(INDEX(Decisions!$K$2:$K$122,MATCH(E578,Decisions!$A$2:$A$122,0)),"")</f>
        <v>0</v>
      </c>
    </row>
    <row r="579" customFormat="false" ht="15" hidden="false" customHeight="false" outlineLevel="0" collapsed="false">
      <c r="A579" s="15" t="s">
        <v>1270</v>
      </c>
      <c r="B579" s="15" t="s">
        <v>68</v>
      </c>
      <c r="C579" s="15" t="s">
        <v>1262</v>
      </c>
      <c r="D579" s="15" t="s">
        <v>1271</v>
      </c>
      <c r="E579" s="15" t="s">
        <v>158</v>
      </c>
      <c r="F579" s="23" t="s">
        <v>97</v>
      </c>
      <c r="G579" s="15" t="n">
        <f aca="false">IFERROR(INDEX(Decisions!$K$2:$K$122,MATCH(E579,Decisions!$A$2:$A$122,0)),"")</f>
        <v>0</v>
      </c>
    </row>
    <row r="580" customFormat="false" ht="15" hidden="false" customHeight="false" outlineLevel="0" collapsed="false">
      <c r="A580" s="15" t="s">
        <v>1272</v>
      </c>
      <c r="B580" s="15" t="s">
        <v>68</v>
      </c>
      <c r="C580" s="15" t="s">
        <v>1273</v>
      </c>
      <c r="D580" s="15" t="s">
        <v>1274</v>
      </c>
      <c r="E580" s="15" t="s">
        <v>191</v>
      </c>
      <c r="F580" s="24" t="s">
        <v>173</v>
      </c>
      <c r="G580" s="15" t="n">
        <f aca="false">IFERROR(INDEX(Decisions!$K$2:$K$122,MATCH(E580,Decisions!$A$2:$A$122,0)),"")</f>
        <v>0</v>
      </c>
    </row>
    <row r="581" customFormat="false" ht="15" hidden="false" customHeight="false" outlineLevel="0" collapsed="false">
      <c r="A581" s="15" t="s">
        <v>1275</v>
      </c>
      <c r="B581" s="15" t="s">
        <v>68</v>
      </c>
      <c r="C581" s="15" t="s">
        <v>1273</v>
      </c>
      <c r="D581" s="15" t="s">
        <v>1274</v>
      </c>
      <c r="E581" s="15" t="s">
        <v>99</v>
      </c>
      <c r="F581" s="23" t="s">
        <v>97</v>
      </c>
      <c r="G581" s="15" t="n">
        <f aca="false">IFERROR(INDEX(Decisions!$K$2:$K$122,MATCH(E581,Decisions!$A$2:$A$122,0)),"")</f>
        <v>0</v>
      </c>
    </row>
    <row r="582" customFormat="false" ht="15" hidden="false" customHeight="false" outlineLevel="0" collapsed="false">
      <c r="A582" s="15" t="s">
        <v>1276</v>
      </c>
      <c r="B582" s="15" t="s">
        <v>68</v>
      </c>
      <c r="C582" s="15" t="s">
        <v>1273</v>
      </c>
      <c r="D582" s="15" t="s">
        <v>1274</v>
      </c>
      <c r="E582" s="15" t="s">
        <v>108</v>
      </c>
      <c r="F582" s="23" t="s">
        <v>97</v>
      </c>
      <c r="G582" s="15" t="n">
        <f aca="false">IFERROR(INDEX(Decisions!$K$2:$K$122,MATCH(E582,Decisions!$A$2:$A$122,0)),"")</f>
        <v>0</v>
      </c>
    </row>
    <row r="583" customFormat="false" ht="15" hidden="false" customHeight="false" outlineLevel="0" collapsed="false">
      <c r="A583" s="15" t="s">
        <v>1277</v>
      </c>
      <c r="B583" s="15" t="s">
        <v>68</v>
      </c>
      <c r="C583" s="15" t="s">
        <v>1273</v>
      </c>
      <c r="D583" s="15" t="s">
        <v>1274</v>
      </c>
      <c r="E583" s="15" t="s">
        <v>106</v>
      </c>
      <c r="F583" s="23" t="s">
        <v>97</v>
      </c>
      <c r="G583" s="15" t="n">
        <f aca="false">IFERROR(INDEX(Decisions!$K$2:$K$122,MATCH(E583,Decisions!$A$2:$A$122,0)),"")</f>
        <v>0</v>
      </c>
    </row>
    <row r="584" customFormat="false" ht="15" hidden="false" customHeight="false" outlineLevel="0" collapsed="false">
      <c r="A584" s="15" t="s">
        <v>1278</v>
      </c>
      <c r="B584" s="15" t="s">
        <v>68</v>
      </c>
      <c r="C584" s="15" t="s">
        <v>1273</v>
      </c>
      <c r="D584" s="15" t="s">
        <v>1274</v>
      </c>
      <c r="E584" s="15" t="s">
        <v>194</v>
      </c>
      <c r="F584" s="24" t="s">
        <v>173</v>
      </c>
      <c r="G584" s="15" t="n">
        <f aca="false">IFERROR(INDEX(Decisions!$K$2:$K$122,MATCH(E584,Decisions!$A$2:$A$122,0)),"")</f>
        <v>0</v>
      </c>
    </row>
    <row r="585" customFormat="false" ht="15" hidden="false" customHeight="false" outlineLevel="0" collapsed="false">
      <c r="A585" s="15" t="s">
        <v>1279</v>
      </c>
      <c r="B585" s="15" t="s">
        <v>68</v>
      </c>
      <c r="C585" s="15" t="s">
        <v>1273</v>
      </c>
      <c r="D585" s="15" t="s">
        <v>1274</v>
      </c>
      <c r="E585" s="15" t="s">
        <v>58</v>
      </c>
      <c r="F585" s="25" t="s">
        <v>26</v>
      </c>
      <c r="G585" s="15" t="str">
        <f aca="false">IFERROR(INDEX(Decisions!$K$2:$K$122,MATCH(E585,Decisions!$A$2:$A$122,0)),"")</f>
        <v>drop</v>
      </c>
    </row>
    <row r="586" customFormat="false" ht="15" hidden="false" customHeight="false" outlineLevel="0" collapsed="false">
      <c r="A586" s="15" t="s">
        <v>1280</v>
      </c>
      <c r="B586" s="15" t="s">
        <v>68</v>
      </c>
      <c r="C586" s="15" t="s">
        <v>1273</v>
      </c>
      <c r="D586" s="15" t="s">
        <v>1274</v>
      </c>
      <c r="E586" s="15" t="s">
        <v>22</v>
      </c>
      <c r="F586" s="25" t="s">
        <v>26</v>
      </c>
      <c r="G586" s="15" t="str">
        <f aca="false">IFERROR(INDEX(Decisions!$K$2:$K$122,MATCH(E586,Decisions!$A$2:$A$122,0)),"")</f>
        <v>drop</v>
      </c>
    </row>
    <row r="587" customFormat="false" ht="15" hidden="false" customHeight="false" outlineLevel="0" collapsed="false">
      <c r="A587" s="15" t="s">
        <v>1281</v>
      </c>
      <c r="B587" s="15" t="s">
        <v>68</v>
      </c>
      <c r="C587" s="15" t="s">
        <v>1273</v>
      </c>
      <c r="D587" s="15" t="s">
        <v>524</v>
      </c>
      <c r="E587" s="15" t="s">
        <v>191</v>
      </c>
      <c r="F587" s="24" t="s">
        <v>173</v>
      </c>
      <c r="G587" s="15" t="n">
        <f aca="false">IFERROR(INDEX(Decisions!$K$2:$K$122,MATCH(E587,Decisions!$A$2:$A$122,0)),"")</f>
        <v>0</v>
      </c>
    </row>
    <row r="588" customFormat="false" ht="15" hidden="false" customHeight="false" outlineLevel="0" collapsed="false">
      <c r="A588" s="15" t="s">
        <v>1282</v>
      </c>
      <c r="B588" s="15" t="s">
        <v>68</v>
      </c>
      <c r="C588" s="15" t="s">
        <v>1273</v>
      </c>
      <c r="D588" s="15" t="s">
        <v>524</v>
      </c>
      <c r="E588" s="15" t="s">
        <v>99</v>
      </c>
      <c r="F588" s="23" t="s">
        <v>97</v>
      </c>
      <c r="G588" s="15" t="n">
        <f aca="false">IFERROR(INDEX(Decisions!$K$2:$K$122,MATCH(E588,Decisions!$A$2:$A$122,0)),"")</f>
        <v>0</v>
      </c>
    </row>
    <row r="589" customFormat="false" ht="15" hidden="false" customHeight="false" outlineLevel="0" collapsed="false">
      <c r="A589" s="15" t="s">
        <v>1283</v>
      </c>
      <c r="B589" s="15" t="s">
        <v>68</v>
      </c>
      <c r="C589" s="15" t="s">
        <v>1273</v>
      </c>
      <c r="D589" s="15" t="s">
        <v>524</v>
      </c>
      <c r="E589" s="15" t="s">
        <v>108</v>
      </c>
      <c r="F589" s="23" t="s">
        <v>97</v>
      </c>
      <c r="G589" s="15" t="n">
        <f aca="false">IFERROR(INDEX(Decisions!$K$2:$K$122,MATCH(E589,Decisions!$A$2:$A$122,0)),"")</f>
        <v>0</v>
      </c>
    </row>
    <row r="590" customFormat="false" ht="15" hidden="false" customHeight="false" outlineLevel="0" collapsed="false">
      <c r="A590" s="15" t="s">
        <v>1284</v>
      </c>
      <c r="B590" s="15" t="s">
        <v>68</v>
      </c>
      <c r="C590" s="15" t="s">
        <v>1273</v>
      </c>
      <c r="D590" s="15" t="s">
        <v>524</v>
      </c>
      <c r="E590" s="15" t="s">
        <v>106</v>
      </c>
      <c r="F590" s="23" t="s">
        <v>97</v>
      </c>
      <c r="G590" s="15" t="n">
        <f aca="false">IFERROR(INDEX(Decisions!$K$2:$K$122,MATCH(E590,Decisions!$A$2:$A$122,0)),"")</f>
        <v>0</v>
      </c>
    </row>
    <row r="591" customFormat="false" ht="15" hidden="false" customHeight="false" outlineLevel="0" collapsed="false">
      <c r="A591" s="15" t="s">
        <v>1285</v>
      </c>
      <c r="B591" s="15" t="s">
        <v>68</v>
      </c>
      <c r="C591" s="15" t="s">
        <v>1273</v>
      </c>
      <c r="D591" s="15" t="s">
        <v>524</v>
      </c>
      <c r="E591" s="15" t="s">
        <v>194</v>
      </c>
      <c r="F591" s="24" t="s">
        <v>173</v>
      </c>
      <c r="G591" s="15" t="n">
        <f aca="false">IFERROR(INDEX(Decisions!$K$2:$K$122,MATCH(E591,Decisions!$A$2:$A$122,0)),"")</f>
        <v>0</v>
      </c>
    </row>
    <row r="592" customFormat="false" ht="15" hidden="false" customHeight="false" outlineLevel="0" collapsed="false">
      <c r="A592" s="15" t="s">
        <v>1286</v>
      </c>
      <c r="B592" s="15" t="s">
        <v>68</v>
      </c>
      <c r="C592" s="15" t="s">
        <v>1273</v>
      </c>
      <c r="D592" s="15" t="s">
        <v>524</v>
      </c>
      <c r="E592" s="15" t="s">
        <v>58</v>
      </c>
      <c r="F592" s="25" t="s">
        <v>26</v>
      </c>
      <c r="G592" s="15" t="str">
        <f aca="false">IFERROR(INDEX(Decisions!$K$2:$K$122,MATCH(E592,Decisions!$A$2:$A$122,0)),"")</f>
        <v>drop</v>
      </c>
    </row>
    <row r="593" customFormat="false" ht="15" hidden="false" customHeight="false" outlineLevel="0" collapsed="false">
      <c r="A593" s="15" t="s">
        <v>1287</v>
      </c>
      <c r="B593" s="15" t="s">
        <v>68</v>
      </c>
      <c r="C593" s="15" t="s">
        <v>1273</v>
      </c>
      <c r="D593" s="15" t="s">
        <v>524</v>
      </c>
      <c r="E593" s="15" t="s">
        <v>22</v>
      </c>
      <c r="F593" s="25" t="s">
        <v>26</v>
      </c>
      <c r="G593" s="15" t="str">
        <f aca="false">IFERROR(INDEX(Decisions!$K$2:$K$122,MATCH(E593,Decisions!$A$2:$A$122,0)),"")</f>
        <v>drop</v>
      </c>
    </row>
    <row r="594" customFormat="false" ht="15" hidden="false" customHeight="false" outlineLevel="0" collapsed="false">
      <c r="A594" s="15" t="s">
        <v>1288</v>
      </c>
      <c r="B594" s="15" t="s">
        <v>68</v>
      </c>
      <c r="C594" s="15" t="s">
        <v>1273</v>
      </c>
      <c r="D594" s="15" t="s">
        <v>1289</v>
      </c>
      <c r="E594" s="15" t="s">
        <v>191</v>
      </c>
      <c r="F594" s="24" t="s">
        <v>173</v>
      </c>
      <c r="G594" s="15" t="n">
        <f aca="false">IFERROR(INDEX(Decisions!$K$2:$K$122,MATCH(E594,Decisions!$A$2:$A$122,0)),"")</f>
        <v>0</v>
      </c>
    </row>
    <row r="595" customFormat="false" ht="15" hidden="false" customHeight="false" outlineLevel="0" collapsed="false">
      <c r="A595" s="15" t="s">
        <v>1290</v>
      </c>
      <c r="B595" s="15" t="s">
        <v>68</v>
      </c>
      <c r="C595" s="15" t="s">
        <v>1273</v>
      </c>
      <c r="D595" s="15" t="s">
        <v>1289</v>
      </c>
      <c r="E595" s="15" t="s">
        <v>99</v>
      </c>
      <c r="F595" s="23" t="s">
        <v>97</v>
      </c>
      <c r="G595" s="15" t="n">
        <f aca="false">IFERROR(INDEX(Decisions!$K$2:$K$122,MATCH(E595,Decisions!$A$2:$A$122,0)),"")</f>
        <v>0</v>
      </c>
    </row>
    <row r="596" customFormat="false" ht="15" hidden="false" customHeight="false" outlineLevel="0" collapsed="false">
      <c r="A596" s="15" t="s">
        <v>1291</v>
      </c>
      <c r="B596" s="15" t="s">
        <v>68</v>
      </c>
      <c r="C596" s="15" t="s">
        <v>1273</v>
      </c>
      <c r="D596" s="15" t="s">
        <v>1289</v>
      </c>
      <c r="E596" s="15" t="s">
        <v>108</v>
      </c>
      <c r="F596" s="23" t="s">
        <v>97</v>
      </c>
      <c r="G596" s="15" t="n">
        <f aca="false">IFERROR(INDEX(Decisions!$K$2:$K$122,MATCH(E596,Decisions!$A$2:$A$122,0)),"")</f>
        <v>0</v>
      </c>
    </row>
    <row r="597" customFormat="false" ht="15" hidden="false" customHeight="false" outlineLevel="0" collapsed="false">
      <c r="A597" s="15" t="s">
        <v>1292</v>
      </c>
      <c r="B597" s="15" t="s">
        <v>68</v>
      </c>
      <c r="C597" s="15" t="s">
        <v>1273</v>
      </c>
      <c r="D597" s="15" t="s">
        <v>1289</v>
      </c>
      <c r="E597" s="15" t="s">
        <v>106</v>
      </c>
      <c r="F597" s="23" t="s">
        <v>97</v>
      </c>
      <c r="G597" s="15" t="n">
        <f aca="false">IFERROR(INDEX(Decisions!$K$2:$K$122,MATCH(E597,Decisions!$A$2:$A$122,0)),"")</f>
        <v>0</v>
      </c>
    </row>
    <row r="598" customFormat="false" ht="15" hidden="false" customHeight="false" outlineLevel="0" collapsed="false">
      <c r="A598" s="15" t="s">
        <v>1293</v>
      </c>
      <c r="B598" s="15" t="s">
        <v>68</v>
      </c>
      <c r="C598" s="15" t="s">
        <v>1273</v>
      </c>
      <c r="D598" s="15" t="s">
        <v>1289</v>
      </c>
      <c r="E598" s="15" t="s">
        <v>194</v>
      </c>
      <c r="F598" s="24" t="s">
        <v>173</v>
      </c>
      <c r="G598" s="15" t="n">
        <f aca="false">IFERROR(INDEX(Decisions!$K$2:$K$122,MATCH(E598,Decisions!$A$2:$A$122,0)),"")</f>
        <v>0</v>
      </c>
    </row>
    <row r="599" customFormat="false" ht="15" hidden="false" customHeight="false" outlineLevel="0" collapsed="false">
      <c r="A599" s="15" t="s">
        <v>1294</v>
      </c>
      <c r="B599" s="15" t="s">
        <v>68</v>
      </c>
      <c r="C599" s="15" t="s">
        <v>1273</v>
      </c>
      <c r="D599" s="15" t="s">
        <v>1289</v>
      </c>
      <c r="E599" s="15" t="s">
        <v>58</v>
      </c>
      <c r="F599" s="25" t="s">
        <v>26</v>
      </c>
      <c r="G599" s="15" t="str">
        <f aca="false">IFERROR(INDEX(Decisions!$K$2:$K$122,MATCH(E599,Decisions!$A$2:$A$122,0)),"")</f>
        <v>drop</v>
      </c>
    </row>
    <row r="600" customFormat="false" ht="15" hidden="false" customHeight="false" outlineLevel="0" collapsed="false">
      <c r="A600" s="15" t="s">
        <v>1295</v>
      </c>
      <c r="B600" s="15" t="s">
        <v>68</v>
      </c>
      <c r="C600" s="15" t="s">
        <v>1273</v>
      </c>
      <c r="D600" s="15" t="s">
        <v>1289</v>
      </c>
      <c r="E600" s="15" t="s">
        <v>22</v>
      </c>
      <c r="F600" s="25" t="s">
        <v>26</v>
      </c>
      <c r="G600" s="15" t="str">
        <f aca="false">IFERROR(INDEX(Decisions!$K$2:$K$122,MATCH(E600,Decisions!$A$2:$A$122,0)),"")</f>
        <v>drop</v>
      </c>
    </row>
    <row r="601" customFormat="false" ht="15" hidden="false" customHeight="false" outlineLevel="0" collapsed="false">
      <c r="A601" s="15" t="s">
        <v>1296</v>
      </c>
      <c r="B601" s="15" t="s">
        <v>68</v>
      </c>
      <c r="C601" s="15" t="s">
        <v>1245</v>
      </c>
      <c r="D601" s="15" t="s">
        <v>1297</v>
      </c>
      <c r="E601" s="15" t="s">
        <v>94</v>
      </c>
      <c r="F601" s="23" t="s">
        <v>97</v>
      </c>
      <c r="G601" s="15" t="n">
        <f aca="false">IFERROR(INDEX(Decisions!$K$2:$K$122,MATCH(E601,Decisions!$A$2:$A$122,0)),"")</f>
        <v>0</v>
      </c>
    </row>
    <row r="602" customFormat="false" ht="15" hidden="false" customHeight="false" outlineLevel="0" collapsed="false">
      <c r="A602" s="15" t="s">
        <v>1298</v>
      </c>
      <c r="B602" s="15" t="s">
        <v>68</v>
      </c>
      <c r="C602" s="15" t="s">
        <v>1245</v>
      </c>
      <c r="D602" s="15" t="s">
        <v>1299</v>
      </c>
      <c r="E602" s="15" t="s">
        <v>94</v>
      </c>
      <c r="F602" s="23" t="s">
        <v>97</v>
      </c>
      <c r="G602" s="15" t="n">
        <f aca="false">IFERROR(INDEX(Decisions!$K$2:$K$122,MATCH(E602,Decisions!$A$2:$A$122,0)),"")</f>
        <v>0</v>
      </c>
    </row>
    <row r="603" customFormat="false" ht="15" hidden="false" customHeight="false" outlineLevel="0" collapsed="false">
      <c r="A603" s="15" t="s">
        <v>1300</v>
      </c>
      <c r="B603" s="15" t="s">
        <v>68</v>
      </c>
      <c r="C603" s="15" t="s">
        <v>1245</v>
      </c>
      <c r="D603" s="15" t="s">
        <v>1299</v>
      </c>
      <c r="E603" s="15" t="s">
        <v>215</v>
      </c>
      <c r="F603" s="24" t="s">
        <v>173</v>
      </c>
      <c r="G603" s="15" t="n">
        <f aca="false">IFERROR(INDEX(Decisions!$K$2:$K$122,MATCH(E603,Decisions!$A$2:$A$122,0)),"")</f>
        <v>0</v>
      </c>
    </row>
    <row r="604" customFormat="false" ht="15" hidden="false" customHeight="false" outlineLevel="0" collapsed="false">
      <c r="A604" s="15" t="s">
        <v>1301</v>
      </c>
      <c r="B604" s="15" t="s">
        <v>68</v>
      </c>
      <c r="C604" s="15" t="s">
        <v>1245</v>
      </c>
      <c r="D604" s="15" t="s">
        <v>1299</v>
      </c>
      <c r="E604" s="15" t="s">
        <v>183</v>
      </c>
      <c r="F604" s="24" t="s">
        <v>173</v>
      </c>
      <c r="G604" s="15" t="n">
        <f aca="false">IFERROR(INDEX(Decisions!$K$2:$K$122,MATCH(E604,Decisions!$A$2:$A$122,0)),"")</f>
        <v>0</v>
      </c>
    </row>
    <row r="605" customFormat="false" ht="15" hidden="false" customHeight="false" outlineLevel="0" collapsed="false">
      <c r="A605" s="15" t="s">
        <v>1302</v>
      </c>
      <c r="B605" s="15" t="s">
        <v>68</v>
      </c>
      <c r="C605" s="15" t="s">
        <v>1262</v>
      </c>
      <c r="D605" s="15" t="s">
        <v>1303</v>
      </c>
      <c r="E605" s="15" t="s">
        <v>94</v>
      </c>
      <c r="F605" s="23" t="s">
        <v>97</v>
      </c>
      <c r="G605" s="15" t="n">
        <f aca="false">IFERROR(INDEX(Decisions!$K$2:$K$122,MATCH(E605,Decisions!$A$2:$A$122,0)),"")</f>
        <v>0</v>
      </c>
    </row>
    <row r="606" customFormat="false" ht="15" hidden="false" customHeight="false" outlineLevel="0" collapsed="false">
      <c r="A606" s="15" t="s">
        <v>1304</v>
      </c>
      <c r="B606" s="15" t="s">
        <v>68</v>
      </c>
      <c r="C606" s="15" t="s">
        <v>1262</v>
      </c>
      <c r="D606" s="15" t="s">
        <v>1303</v>
      </c>
      <c r="E606" s="15" t="s">
        <v>233</v>
      </c>
      <c r="F606" s="24" t="s">
        <v>173</v>
      </c>
      <c r="G606" s="15" t="n">
        <f aca="false">IFERROR(INDEX(Decisions!$K$2:$K$122,MATCH(E606,Decisions!$A$2:$A$122,0)),"")</f>
        <v>0</v>
      </c>
    </row>
    <row r="607" customFormat="false" ht="15" hidden="false" customHeight="false" outlineLevel="0" collapsed="false">
      <c r="A607" s="15" t="s">
        <v>1305</v>
      </c>
      <c r="B607" s="15" t="s">
        <v>68</v>
      </c>
      <c r="C607" s="15" t="s">
        <v>1262</v>
      </c>
      <c r="D607" s="15" t="s">
        <v>1303</v>
      </c>
      <c r="E607" s="15" t="s">
        <v>183</v>
      </c>
      <c r="F607" s="24" t="s">
        <v>173</v>
      </c>
      <c r="G607" s="15" t="n">
        <f aca="false">IFERROR(INDEX(Decisions!$K$2:$K$122,MATCH(E607,Decisions!$A$2:$A$122,0)),"")</f>
        <v>0</v>
      </c>
    </row>
    <row r="608" customFormat="false" ht="15" hidden="false" customHeight="false" outlineLevel="0" collapsed="false">
      <c r="A608" s="15" t="s">
        <v>1306</v>
      </c>
      <c r="B608" s="15" t="s">
        <v>68</v>
      </c>
      <c r="C608" s="15" t="s">
        <v>1233</v>
      </c>
      <c r="D608" s="15" t="s">
        <v>1134</v>
      </c>
      <c r="E608" s="15" t="s">
        <v>94</v>
      </c>
      <c r="F608" s="23" t="s">
        <v>97</v>
      </c>
      <c r="G608" s="15" t="n">
        <f aca="false">IFERROR(INDEX(Decisions!$K$2:$K$122,MATCH(E608,Decisions!$A$2:$A$122,0)),"")</f>
        <v>0</v>
      </c>
    </row>
    <row r="609" customFormat="false" ht="15" hidden="false" customHeight="false" outlineLevel="0" collapsed="false">
      <c r="A609" s="15" t="s">
        <v>1307</v>
      </c>
      <c r="B609" s="15" t="s">
        <v>68</v>
      </c>
      <c r="C609" s="15" t="s">
        <v>1233</v>
      </c>
      <c r="D609" s="15" t="s">
        <v>1134</v>
      </c>
      <c r="E609" s="15" t="s">
        <v>183</v>
      </c>
      <c r="F609" s="24" t="s">
        <v>173</v>
      </c>
      <c r="G609" s="15" t="n">
        <f aca="false">IFERROR(INDEX(Decisions!$K$2:$K$122,MATCH(E609,Decisions!$A$2:$A$122,0)),"")</f>
        <v>0</v>
      </c>
    </row>
    <row r="610" customFormat="false" ht="15" hidden="false" customHeight="false" outlineLevel="0" collapsed="false">
      <c r="A610" s="15" t="s">
        <v>1308</v>
      </c>
      <c r="B610" s="15" t="s">
        <v>68</v>
      </c>
      <c r="C610" s="15" t="s">
        <v>1309</v>
      </c>
      <c r="D610" s="15" t="s">
        <v>1310</v>
      </c>
      <c r="E610" s="15" t="s">
        <v>110</v>
      </c>
      <c r="F610" s="23" t="s">
        <v>97</v>
      </c>
      <c r="G610" s="15" t="n">
        <f aca="false">IFERROR(INDEX(Decisions!$K$2:$K$122,MATCH(E610,Decisions!$A$2:$A$122,0)),"")</f>
        <v>0</v>
      </c>
    </row>
    <row r="611" customFormat="false" ht="15" hidden="false" customHeight="false" outlineLevel="0" collapsed="false">
      <c r="A611" s="15" t="s">
        <v>1311</v>
      </c>
      <c r="B611" s="15" t="s">
        <v>68</v>
      </c>
      <c r="C611" s="15" t="s">
        <v>1309</v>
      </c>
      <c r="D611" s="15" t="s">
        <v>1310</v>
      </c>
      <c r="E611" s="15" t="s">
        <v>198</v>
      </c>
      <c r="F611" s="24" t="s">
        <v>173</v>
      </c>
      <c r="G611" s="15" t="n">
        <f aca="false">IFERROR(INDEX(Decisions!$K$2:$K$122,MATCH(E611,Decisions!$A$2:$A$122,0)),"")</f>
        <v>0</v>
      </c>
    </row>
    <row r="612" customFormat="false" ht="15" hidden="false" customHeight="false" outlineLevel="0" collapsed="false">
      <c r="A612" s="15" t="s">
        <v>1312</v>
      </c>
      <c r="B612" s="15" t="s">
        <v>68</v>
      </c>
      <c r="C612" s="15" t="s">
        <v>1313</v>
      </c>
      <c r="D612" s="15" t="s">
        <v>1314</v>
      </c>
      <c r="E612" s="15" t="s">
        <v>120</v>
      </c>
      <c r="F612" s="23" t="s">
        <v>97</v>
      </c>
      <c r="G612" s="15" t="n">
        <f aca="false">IFERROR(INDEX(Decisions!$K$2:$K$122,MATCH(E612,Decisions!$A$2:$A$122,0)),"")</f>
        <v>0</v>
      </c>
    </row>
    <row r="613" customFormat="false" ht="15" hidden="false" customHeight="false" outlineLevel="0" collapsed="false">
      <c r="A613" s="15" t="s">
        <v>1315</v>
      </c>
      <c r="B613" s="15" t="s">
        <v>68</v>
      </c>
      <c r="C613" s="15" t="s">
        <v>1313</v>
      </c>
      <c r="D613" s="15" t="s">
        <v>1314</v>
      </c>
      <c r="E613" s="15" t="s">
        <v>122</v>
      </c>
      <c r="F613" s="23" t="s">
        <v>97</v>
      </c>
      <c r="G613" s="15" t="n">
        <f aca="false">IFERROR(INDEX(Decisions!$K$2:$K$122,MATCH(E613,Decisions!$A$2:$A$122,0)),"")</f>
        <v>0</v>
      </c>
    </row>
    <row r="614" customFormat="false" ht="15" hidden="false" customHeight="false" outlineLevel="0" collapsed="false">
      <c r="A614" s="15" t="s">
        <v>1316</v>
      </c>
      <c r="B614" s="15" t="s">
        <v>68</v>
      </c>
      <c r="C614" s="15" t="s">
        <v>1313</v>
      </c>
      <c r="D614" s="15" t="s">
        <v>1314</v>
      </c>
      <c r="E614" s="15" t="s">
        <v>63</v>
      </c>
      <c r="F614" s="25" t="s">
        <v>26</v>
      </c>
      <c r="G614" s="15" t="str">
        <f aca="false">IFERROR(INDEX(Decisions!$K$2:$K$122,MATCH(E614,Decisions!$A$2:$A$122,0)),"")</f>
        <v>drop</v>
      </c>
    </row>
    <row r="615" customFormat="false" ht="15" hidden="false" customHeight="false" outlineLevel="0" collapsed="false">
      <c r="A615" s="15" t="s">
        <v>1317</v>
      </c>
      <c r="B615" s="15" t="s">
        <v>68</v>
      </c>
      <c r="C615" s="15" t="s">
        <v>1313</v>
      </c>
      <c r="D615" s="15" t="s">
        <v>1314</v>
      </c>
      <c r="E615" s="15" t="s">
        <v>124</v>
      </c>
      <c r="F615" s="23" t="s">
        <v>97</v>
      </c>
      <c r="G615" s="15" t="n">
        <f aca="false">IFERROR(INDEX(Decisions!$K$2:$K$122,MATCH(E615,Decisions!$A$2:$A$122,0)),"")</f>
        <v>0</v>
      </c>
    </row>
    <row r="616" customFormat="false" ht="15" hidden="false" customHeight="false" outlineLevel="0" collapsed="false">
      <c r="A616" s="15" t="s">
        <v>1318</v>
      </c>
      <c r="B616" s="15" t="s">
        <v>68</v>
      </c>
      <c r="C616" s="15" t="s">
        <v>1313</v>
      </c>
      <c r="D616" s="15" t="s">
        <v>1314</v>
      </c>
      <c r="E616" s="15" t="s">
        <v>262</v>
      </c>
      <c r="F616" s="24" t="s">
        <v>173</v>
      </c>
      <c r="G616" s="15" t="n">
        <f aca="false">IFERROR(INDEX(Decisions!$K$2:$K$122,MATCH(E616,Decisions!$A$2:$A$122,0)),"")</f>
        <v>0</v>
      </c>
    </row>
    <row r="617" customFormat="false" ht="15" hidden="false" customHeight="false" outlineLevel="0" collapsed="false">
      <c r="A617" s="15" t="s">
        <v>1319</v>
      </c>
      <c r="B617" s="15" t="s">
        <v>68</v>
      </c>
      <c r="C617" s="15" t="s">
        <v>1313</v>
      </c>
      <c r="D617" s="15" t="s">
        <v>1314</v>
      </c>
      <c r="E617" s="15" t="s">
        <v>247</v>
      </c>
      <c r="F617" s="24" t="s">
        <v>173</v>
      </c>
      <c r="G617" s="15" t="n">
        <f aca="false">IFERROR(INDEX(Decisions!$K$2:$K$122,MATCH(E617,Decisions!$A$2:$A$122,0)),"")</f>
        <v>0</v>
      </c>
    </row>
    <row r="618" customFormat="false" ht="15" hidden="false" customHeight="false" outlineLevel="0" collapsed="false">
      <c r="A618" s="15" t="s">
        <v>1320</v>
      </c>
      <c r="B618" s="15" t="s">
        <v>68</v>
      </c>
      <c r="C618" s="15" t="s">
        <v>1313</v>
      </c>
      <c r="D618" s="15" t="s">
        <v>1314</v>
      </c>
      <c r="E618" s="15" t="s">
        <v>251</v>
      </c>
      <c r="F618" s="24" t="s">
        <v>173</v>
      </c>
      <c r="G618" s="15" t="n">
        <f aca="false">IFERROR(INDEX(Decisions!$K$2:$K$122,MATCH(E618,Decisions!$A$2:$A$122,0)),"")</f>
        <v>0</v>
      </c>
    </row>
    <row r="619" customFormat="false" ht="15" hidden="false" customHeight="false" outlineLevel="0" collapsed="false">
      <c r="A619" s="15" t="s">
        <v>1321</v>
      </c>
      <c r="B619" s="15" t="s">
        <v>68</v>
      </c>
      <c r="C619" s="15" t="s">
        <v>1313</v>
      </c>
      <c r="D619" s="15" t="s">
        <v>1314</v>
      </c>
      <c r="E619" s="15" t="s">
        <v>126</v>
      </c>
      <c r="F619" s="23" t="s">
        <v>97</v>
      </c>
      <c r="G619" s="15" t="n">
        <f aca="false">IFERROR(INDEX(Decisions!$K$2:$K$122,MATCH(E619,Decisions!$A$2:$A$122,0)),"")</f>
        <v>0</v>
      </c>
    </row>
    <row r="620" customFormat="false" ht="15" hidden="false" customHeight="false" outlineLevel="0" collapsed="false">
      <c r="A620" s="15" t="s">
        <v>1322</v>
      </c>
      <c r="B620" s="15" t="s">
        <v>68</v>
      </c>
      <c r="C620" s="15" t="s">
        <v>1323</v>
      </c>
      <c r="D620" s="15" t="s">
        <v>1324</v>
      </c>
      <c r="E620" s="15" t="s">
        <v>228</v>
      </c>
      <c r="F620" s="24" t="s">
        <v>173</v>
      </c>
      <c r="G620" s="15" t="n">
        <f aca="false">IFERROR(INDEX(Decisions!$K$2:$K$122,MATCH(E620,Decisions!$A$2:$A$122,0)),"")</f>
        <v>0</v>
      </c>
    </row>
    <row r="621" customFormat="false" ht="15" hidden="false" customHeight="false" outlineLevel="0" collapsed="false">
      <c r="A621" s="15" t="s">
        <v>1325</v>
      </c>
      <c r="B621" s="15" t="s">
        <v>68</v>
      </c>
      <c r="C621" s="15" t="s">
        <v>1323</v>
      </c>
      <c r="D621" s="15" t="s">
        <v>1324</v>
      </c>
      <c r="E621" s="15" t="s">
        <v>212</v>
      </c>
      <c r="F621" s="24" t="s">
        <v>173</v>
      </c>
      <c r="G621" s="15" t="n">
        <f aca="false">IFERROR(INDEX(Decisions!$K$2:$K$122,MATCH(E621,Decisions!$A$2:$A$122,0)),"")</f>
        <v>0</v>
      </c>
    </row>
    <row r="622" customFormat="false" ht="15" hidden="false" customHeight="false" outlineLevel="0" collapsed="false">
      <c r="A622" s="15" t="s">
        <v>1326</v>
      </c>
      <c r="B622" s="15" t="s">
        <v>68</v>
      </c>
      <c r="C622" s="15" t="s">
        <v>1323</v>
      </c>
      <c r="D622" s="15" t="s">
        <v>1324</v>
      </c>
      <c r="E622" s="15" t="s">
        <v>187</v>
      </c>
      <c r="F622" s="24" t="s">
        <v>173</v>
      </c>
      <c r="G622" s="15" t="n">
        <f aca="false">IFERROR(INDEX(Decisions!$K$2:$K$122,MATCH(E622,Decisions!$A$2:$A$122,0)),"")</f>
        <v>0</v>
      </c>
    </row>
    <row r="623" customFormat="false" ht="15" hidden="false" customHeight="false" outlineLevel="0" collapsed="false">
      <c r="A623" s="15" t="s">
        <v>1327</v>
      </c>
      <c r="B623" s="15" t="s">
        <v>68</v>
      </c>
      <c r="C623" s="15" t="s">
        <v>1323</v>
      </c>
      <c r="D623" s="15" t="s">
        <v>1324</v>
      </c>
      <c r="E623" s="15" t="s">
        <v>170</v>
      </c>
      <c r="F623" s="24" t="s">
        <v>173</v>
      </c>
      <c r="G623" s="15" t="n">
        <f aca="false">IFERROR(INDEX(Decisions!$K$2:$K$122,MATCH(E623,Decisions!$A$2:$A$122,0)),"")</f>
        <v>0</v>
      </c>
    </row>
    <row r="624" customFormat="false" ht="15" hidden="false" customHeight="false" outlineLevel="0" collapsed="false">
      <c r="A624" s="15" t="s">
        <v>1328</v>
      </c>
      <c r="B624" s="15" t="s">
        <v>68</v>
      </c>
      <c r="C624" s="15" t="s">
        <v>1323</v>
      </c>
      <c r="D624" s="15" t="s">
        <v>1329</v>
      </c>
      <c r="E624" s="15" t="s">
        <v>177</v>
      </c>
      <c r="F624" s="24" t="s">
        <v>173</v>
      </c>
      <c r="G624" s="15" t="n">
        <f aca="false">IFERROR(INDEX(Decisions!$K$2:$K$122,MATCH(E624,Decisions!$A$2:$A$122,0)),"")</f>
        <v>0</v>
      </c>
    </row>
    <row r="625" customFormat="false" ht="15" hidden="false" customHeight="false" outlineLevel="0" collapsed="false">
      <c r="A625" s="15" t="s">
        <v>1330</v>
      </c>
      <c r="B625" s="15" t="s">
        <v>68</v>
      </c>
      <c r="C625" s="15" t="s">
        <v>1323</v>
      </c>
      <c r="D625" s="15" t="s">
        <v>1331</v>
      </c>
      <c r="E625" s="15" t="s">
        <v>187</v>
      </c>
      <c r="F625" s="24" t="s">
        <v>173</v>
      </c>
      <c r="G625" s="15" t="n">
        <f aca="false">IFERROR(INDEX(Decisions!$K$2:$K$122,MATCH(E625,Decisions!$A$2:$A$122,0)),"")</f>
        <v>0</v>
      </c>
    </row>
    <row r="626" customFormat="false" ht="15" hidden="false" customHeight="false" outlineLevel="0" collapsed="false">
      <c r="A626" s="15" t="s">
        <v>1332</v>
      </c>
      <c r="B626" s="15" t="s">
        <v>68</v>
      </c>
      <c r="C626" s="15" t="s">
        <v>1323</v>
      </c>
      <c r="D626" s="15" t="s">
        <v>1331</v>
      </c>
      <c r="E626" s="15" t="s">
        <v>170</v>
      </c>
      <c r="F626" s="24" t="s">
        <v>173</v>
      </c>
      <c r="G626" s="15" t="n">
        <f aca="false">IFERROR(INDEX(Decisions!$K$2:$K$122,MATCH(E626,Decisions!$A$2:$A$122,0)),"")</f>
        <v>0</v>
      </c>
    </row>
    <row r="627" customFormat="false" ht="15" hidden="false" customHeight="false" outlineLevel="0" collapsed="false">
      <c r="A627" s="15" t="s">
        <v>1333</v>
      </c>
      <c r="B627" s="15" t="s">
        <v>68</v>
      </c>
      <c r="C627" s="15" t="s">
        <v>1334</v>
      </c>
      <c r="D627" s="15" t="s">
        <v>1335</v>
      </c>
      <c r="E627" s="15" t="s">
        <v>101</v>
      </c>
      <c r="F627" s="23" t="s">
        <v>97</v>
      </c>
      <c r="G627" s="15" t="n">
        <f aca="false">IFERROR(INDEX(Decisions!$K$2:$K$122,MATCH(E627,Decisions!$A$2:$A$122,0)),"")</f>
        <v>0</v>
      </c>
    </row>
    <row r="628" customFormat="false" ht="15" hidden="false" customHeight="false" outlineLevel="0" collapsed="false">
      <c r="A628" s="15" t="s">
        <v>1336</v>
      </c>
      <c r="B628" s="15" t="s">
        <v>68</v>
      </c>
      <c r="C628" s="15" t="s">
        <v>1334</v>
      </c>
      <c r="D628" s="15" t="s">
        <v>1335</v>
      </c>
      <c r="E628" s="15" t="s">
        <v>104</v>
      </c>
      <c r="F628" s="23" t="s">
        <v>97</v>
      </c>
      <c r="G628" s="15" t="n">
        <f aca="false">IFERROR(INDEX(Decisions!$K$2:$K$122,MATCH(E628,Decisions!$A$2:$A$122,0)),"")</f>
        <v>0</v>
      </c>
    </row>
    <row r="629" customFormat="false" ht="15" hidden="false" customHeight="false" outlineLevel="0" collapsed="false">
      <c r="A629" s="15" t="s">
        <v>1337</v>
      </c>
      <c r="B629" s="15" t="s">
        <v>68</v>
      </c>
      <c r="C629" s="15" t="s">
        <v>1334</v>
      </c>
      <c r="D629" s="15" t="s">
        <v>1335</v>
      </c>
      <c r="E629" s="15" t="s">
        <v>209</v>
      </c>
      <c r="F629" s="24" t="s">
        <v>173</v>
      </c>
      <c r="G629" s="15" t="n">
        <f aca="false">IFERROR(INDEX(Decisions!$K$2:$K$122,MATCH(E629,Decisions!$A$2:$A$122,0)),"")</f>
        <v>0</v>
      </c>
    </row>
    <row r="630" customFormat="false" ht="15" hidden="false" customHeight="false" outlineLevel="0" collapsed="false">
      <c r="A630" s="15" t="s">
        <v>1338</v>
      </c>
      <c r="B630" s="15" t="s">
        <v>68</v>
      </c>
      <c r="C630" s="15" t="s">
        <v>1339</v>
      </c>
      <c r="D630" s="15" t="s">
        <v>1340</v>
      </c>
      <c r="E630" s="15" t="s">
        <v>191</v>
      </c>
      <c r="F630" s="24" t="s">
        <v>173</v>
      </c>
      <c r="G630" s="15" t="n">
        <f aca="false">IFERROR(INDEX(Decisions!$K$2:$K$122,MATCH(E630,Decisions!$A$2:$A$122,0)),"")</f>
        <v>0</v>
      </c>
    </row>
    <row r="631" customFormat="false" ht="15" hidden="false" customHeight="false" outlineLevel="0" collapsed="false">
      <c r="A631" s="15" t="s">
        <v>1341</v>
      </c>
      <c r="B631" s="15" t="s">
        <v>68</v>
      </c>
      <c r="C631" s="15" t="s">
        <v>1339</v>
      </c>
      <c r="D631" s="15" t="s">
        <v>1340</v>
      </c>
      <c r="E631" s="15" t="s">
        <v>99</v>
      </c>
      <c r="F631" s="23" t="s">
        <v>97</v>
      </c>
      <c r="G631" s="15" t="n">
        <f aca="false">IFERROR(INDEX(Decisions!$K$2:$K$122,MATCH(E631,Decisions!$A$2:$A$122,0)),"")</f>
        <v>0</v>
      </c>
    </row>
    <row r="632" customFormat="false" ht="15" hidden="false" customHeight="false" outlineLevel="0" collapsed="false">
      <c r="A632" s="15" t="s">
        <v>1342</v>
      </c>
      <c r="B632" s="15" t="s">
        <v>68</v>
      </c>
      <c r="C632" s="15" t="s">
        <v>1339</v>
      </c>
      <c r="D632" s="15" t="s">
        <v>1340</v>
      </c>
      <c r="E632" s="15" t="s">
        <v>108</v>
      </c>
      <c r="F632" s="23" t="s">
        <v>97</v>
      </c>
      <c r="G632" s="15" t="n">
        <f aca="false">IFERROR(INDEX(Decisions!$K$2:$K$122,MATCH(E632,Decisions!$A$2:$A$122,0)),"")</f>
        <v>0</v>
      </c>
    </row>
    <row r="633" customFormat="false" ht="15" hidden="false" customHeight="false" outlineLevel="0" collapsed="false">
      <c r="A633" s="15" t="s">
        <v>1343</v>
      </c>
      <c r="B633" s="15" t="s">
        <v>68</v>
      </c>
      <c r="C633" s="15" t="s">
        <v>1339</v>
      </c>
      <c r="D633" s="15" t="s">
        <v>1340</v>
      </c>
      <c r="E633" s="15" t="s">
        <v>106</v>
      </c>
      <c r="F633" s="23" t="s">
        <v>97</v>
      </c>
      <c r="G633" s="15" t="n">
        <f aca="false">IFERROR(INDEX(Decisions!$K$2:$K$122,MATCH(E633,Decisions!$A$2:$A$122,0)),"")</f>
        <v>0</v>
      </c>
    </row>
    <row r="634" customFormat="false" ht="15" hidden="false" customHeight="false" outlineLevel="0" collapsed="false">
      <c r="A634" s="15" t="s">
        <v>1344</v>
      </c>
      <c r="B634" s="15" t="s">
        <v>68</v>
      </c>
      <c r="C634" s="15" t="s">
        <v>1339</v>
      </c>
      <c r="D634" s="15" t="s">
        <v>1340</v>
      </c>
      <c r="E634" s="15" t="s">
        <v>194</v>
      </c>
      <c r="F634" s="24" t="s">
        <v>173</v>
      </c>
      <c r="G634" s="15" t="n">
        <f aca="false">IFERROR(INDEX(Decisions!$K$2:$K$122,MATCH(E634,Decisions!$A$2:$A$122,0)),"")</f>
        <v>0</v>
      </c>
    </row>
    <row r="635" customFormat="false" ht="15" hidden="false" customHeight="false" outlineLevel="0" collapsed="false">
      <c r="A635" s="15" t="s">
        <v>1345</v>
      </c>
      <c r="B635" s="15" t="s">
        <v>68</v>
      </c>
      <c r="C635" s="15" t="s">
        <v>1339</v>
      </c>
      <c r="D635" s="15" t="s">
        <v>1340</v>
      </c>
      <c r="E635" s="15" t="s">
        <v>58</v>
      </c>
      <c r="F635" s="25" t="s">
        <v>26</v>
      </c>
      <c r="G635" s="15" t="str">
        <f aca="false">IFERROR(INDEX(Decisions!$K$2:$K$122,MATCH(E635,Decisions!$A$2:$A$122,0)),"")</f>
        <v>drop</v>
      </c>
    </row>
    <row r="636" customFormat="false" ht="15" hidden="false" customHeight="false" outlineLevel="0" collapsed="false">
      <c r="A636" s="15" t="s">
        <v>1346</v>
      </c>
      <c r="B636" s="15" t="s">
        <v>68</v>
      </c>
      <c r="C636" s="15" t="s">
        <v>1339</v>
      </c>
      <c r="D636" s="15" t="s">
        <v>1340</v>
      </c>
      <c r="E636" s="15" t="s">
        <v>22</v>
      </c>
      <c r="F636" s="25" t="s">
        <v>26</v>
      </c>
      <c r="G636" s="15" t="str">
        <f aca="false">IFERROR(INDEX(Decisions!$K$2:$K$122,MATCH(E636,Decisions!$A$2:$A$122,0)),"")</f>
        <v>drop</v>
      </c>
    </row>
    <row r="637" customFormat="false" ht="15" hidden="false" customHeight="false" outlineLevel="0" collapsed="false">
      <c r="A637" s="15" t="s">
        <v>1347</v>
      </c>
      <c r="B637" s="15" t="s">
        <v>68</v>
      </c>
      <c r="C637" s="15" t="s">
        <v>1348</v>
      </c>
      <c r="D637" s="15" t="s">
        <v>1349</v>
      </c>
      <c r="E637" s="15" t="s">
        <v>94</v>
      </c>
      <c r="F637" s="23" t="s">
        <v>97</v>
      </c>
      <c r="G637" s="15" t="n">
        <f aca="false">IFERROR(INDEX(Decisions!$K$2:$K$122,MATCH(E637,Decisions!$A$2:$A$122,0)),"")</f>
        <v>0</v>
      </c>
    </row>
    <row r="638" customFormat="false" ht="15" hidden="false" customHeight="false" outlineLevel="0" collapsed="false">
      <c r="A638" s="15" t="s">
        <v>1350</v>
      </c>
      <c r="B638" s="15" t="s">
        <v>68</v>
      </c>
      <c r="C638" s="15" t="s">
        <v>1348</v>
      </c>
      <c r="D638" s="15" t="s">
        <v>1349</v>
      </c>
      <c r="E638" s="15" t="s">
        <v>183</v>
      </c>
      <c r="F638" s="24" t="s">
        <v>173</v>
      </c>
      <c r="G638" s="15" t="n">
        <f aca="false">IFERROR(INDEX(Decisions!$K$2:$K$122,MATCH(E638,Decisions!$A$2:$A$122,0)),"")</f>
        <v>0</v>
      </c>
    </row>
    <row r="639" customFormat="false" ht="15" hidden="false" customHeight="false" outlineLevel="0" collapsed="false">
      <c r="A639" s="15" t="s">
        <v>1351</v>
      </c>
      <c r="B639" s="15" t="s">
        <v>68</v>
      </c>
      <c r="C639" s="15" t="s">
        <v>1348</v>
      </c>
      <c r="D639" s="15" t="s">
        <v>651</v>
      </c>
      <c r="E639" s="15" t="s">
        <v>94</v>
      </c>
      <c r="F639" s="23" t="s">
        <v>97</v>
      </c>
      <c r="G639" s="15" t="n">
        <f aca="false">IFERROR(INDEX(Decisions!$K$2:$K$122,MATCH(E639,Decisions!$A$2:$A$122,0)),"")</f>
        <v>0</v>
      </c>
    </row>
    <row r="640" customFormat="false" ht="15" hidden="false" customHeight="false" outlineLevel="0" collapsed="false">
      <c r="A640" s="15" t="s">
        <v>1352</v>
      </c>
      <c r="B640" s="15" t="s">
        <v>68</v>
      </c>
      <c r="C640" s="15" t="s">
        <v>1348</v>
      </c>
      <c r="D640" s="15" t="s">
        <v>651</v>
      </c>
      <c r="E640" s="15" t="s">
        <v>215</v>
      </c>
      <c r="F640" s="24" t="s">
        <v>173</v>
      </c>
      <c r="G640" s="15" t="n">
        <f aca="false">IFERROR(INDEX(Decisions!$K$2:$K$122,MATCH(E640,Decisions!$A$2:$A$122,0)),"")</f>
        <v>0</v>
      </c>
    </row>
    <row r="641" customFormat="false" ht="15" hidden="false" customHeight="false" outlineLevel="0" collapsed="false">
      <c r="A641" s="15" t="s">
        <v>1353</v>
      </c>
      <c r="B641" s="15" t="s">
        <v>68</v>
      </c>
      <c r="C641" s="15" t="s">
        <v>1348</v>
      </c>
      <c r="D641" s="15" t="s">
        <v>651</v>
      </c>
      <c r="E641" s="15" t="s">
        <v>183</v>
      </c>
      <c r="F641" s="24" t="s">
        <v>173</v>
      </c>
      <c r="G641" s="15" t="n">
        <f aca="false">IFERROR(INDEX(Decisions!$K$2:$K$122,MATCH(E641,Decisions!$A$2:$A$122,0)),"")</f>
        <v>0</v>
      </c>
    </row>
    <row r="642" customFormat="false" ht="15" hidden="false" customHeight="false" outlineLevel="0" collapsed="false">
      <c r="A642" s="15" t="s">
        <v>1354</v>
      </c>
      <c r="B642" s="15" t="s">
        <v>68</v>
      </c>
      <c r="C642" s="15" t="s">
        <v>1348</v>
      </c>
      <c r="D642" s="15" t="s">
        <v>1355</v>
      </c>
      <c r="E642" s="15" t="s">
        <v>222</v>
      </c>
      <c r="F642" s="24" t="s">
        <v>173</v>
      </c>
      <c r="G642" s="15" t="n">
        <f aca="false">IFERROR(INDEX(Decisions!$K$2:$K$122,MATCH(E642,Decisions!$A$2:$A$122,0)),"")</f>
        <v>0</v>
      </c>
    </row>
    <row r="643" customFormat="false" ht="15" hidden="false" customHeight="false" outlineLevel="0" collapsed="false">
      <c r="A643" s="15" t="s">
        <v>1356</v>
      </c>
      <c r="B643" s="15" t="s">
        <v>68</v>
      </c>
      <c r="C643" s="15" t="s">
        <v>1348</v>
      </c>
      <c r="D643" s="15" t="s">
        <v>1357</v>
      </c>
      <c r="E643" s="15" t="s">
        <v>222</v>
      </c>
      <c r="F643" s="24" t="s">
        <v>173</v>
      </c>
      <c r="G643" s="15" t="n">
        <f aca="false">IFERROR(INDEX(Decisions!$K$2:$K$122,MATCH(E643,Decisions!$A$2:$A$122,0)),"")</f>
        <v>0</v>
      </c>
    </row>
    <row r="644" customFormat="false" ht="15" hidden="false" customHeight="false" outlineLevel="0" collapsed="false">
      <c r="A644" s="15" t="s">
        <v>1358</v>
      </c>
      <c r="B644" s="15" t="s">
        <v>68</v>
      </c>
      <c r="C644" s="15" t="s">
        <v>1348</v>
      </c>
      <c r="D644" s="15" t="s">
        <v>656</v>
      </c>
      <c r="E644" s="15" t="s">
        <v>110</v>
      </c>
      <c r="F644" s="23" t="s">
        <v>97</v>
      </c>
      <c r="G644" s="15" t="n">
        <f aca="false">IFERROR(INDEX(Decisions!$K$2:$K$122,MATCH(E644,Decisions!$A$2:$A$122,0)),"")</f>
        <v>0</v>
      </c>
    </row>
    <row r="645" customFormat="false" ht="15" hidden="false" customHeight="false" outlineLevel="0" collapsed="false">
      <c r="A645" s="15" t="s">
        <v>1359</v>
      </c>
      <c r="B645" s="15" t="s">
        <v>68</v>
      </c>
      <c r="C645" s="15" t="s">
        <v>1348</v>
      </c>
      <c r="D645" s="15" t="s">
        <v>656</v>
      </c>
      <c r="E645" s="15" t="s">
        <v>198</v>
      </c>
      <c r="F645" s="24" t="s">
        <v>173</v>
      </c>
      <c r="G645" s="15" t="n">
        <f aca="false">IFERROR(INDEX(Decisions!$K$2:$K$122,MATCH(E645,Decisions!$A$2:$A$122,0)),"")</f>
        <v>0</v>
      </c>
    </row>
    <row r="646" customFormat="false" ht="15" hidden="false" customHeight="false" outlineLevel="0" collapsed="false">
      <c r="A646" s="15" t="s">
        <v>1360</v>
      </c>
      <c r="B646" s="15" t="s">
        <v>68</v>
      </c>
      <c r="C646" s="15" t="s">
        <v>1361</v>
      </c>
      <c r="D646" s="15" t="s">
        <v>1362</v>
      </c>
      <c r="E646" s="15" t="s">
        <v>212</v>
      </c>
      <c r="F646" s="24" t="s">
        <v>173</v>
      </c>
      <c r="G646" s="15" t="n">
        <f aca="false">IFERROR(INDEX(Decisions!$K$2:$K$122,MATCH(E646,Decisions!$A$2:$A$122,0)),"")</f>
        <v>0</v>
      </c>
    </row>
    <row r="647" customFormat="false" ht="15" hidden="false" customHeight="false" outlineLevel="0" collapsed="false">
      <c r="A647" s="15" t="s">
        <v>1363</v>
      </c>
      <c r="B647" s="15" t="s">
        <v>68</v>
      </c>
      <c r="C647" s="15" t="s">
        <v>1361</v>
      </c>
      <c r="D647" s="15" t="s">
        <v>1362</v>
      </c>
      <c r="E647" s="15" t="s">
        <v>187</v>
      </c>
      <c r="F647" s="24" t="s">
        <v>173</v>
      </c>
      <c r="G647" s="15" t="n">
        <f aca="false">IFERROR(INDEX(Decisions!$K$2:$K$122,MATCH(E647,Decisions!$A$2:$A$122,0)),"")</f>
        <v>0</v>
      </c>
    </row>
    <row r="648" customFormat="false" ht="15" hidden="false" customHeight="false" outlineLevel="0" collapsed="false">
      <c r="A648" s="15" t="s">
        <v>1364</v>
      </c>
      <c r="B648" s="15" t="s">
        <v>68</v>
      </c>
      <c r="C648" s="15" t="s">
        <v>1361</v>
      </c>
      <c r="D648" s="15" t="s">
        <v>1362</v>
      </c>
      <c r="E648" s="15" t="s">
        <v>170</v>
      </c>
      <c r="F648" s="24" t="s">
        <v>173</v>
      </c>
      <c r="G648" s="15" t="n">
        <f aca="false">IFERROR(INDEX(Decisions!$K$2:$K$122,MATCH(E648,Decisions!$A$2:$A$122,0)),"")</f>
        <v>0</v>
      </c>
    </row>
    <row r="649" customFormat="false" ht="15" hidden="false" customHeight="false" outlineLevel="0" collapsed="false">
      <c r="A649" s="15" t="s">
        <v>1365</v>
      </c>
      <c r="B649" s="15" t="s">
        <v>68</v>
      </c>
      <c r="C649" s="15" t="s">
        <v>1361</v>
      </c>
      <c r="D649" s="15" t="s">
        <v>1366</v>
      </c>
      <c r="E649" s="15" t="s">
        <v>177</v>
      </c>
      <c r="F649" s="24" t="s">
        <v>173</v>
      </c>
      <c r="G649" s="15" t="n">
        <f aca="false">IFERROR(INDEX(Decisions!$K$2:$K$122,MATCH(E649,Decisions!$A$2:$A$122,0)),"")</f>
        <v>0</v>
      </c>
    </row>
    <row r="650" customFormat="false" ht="15" hidden="false" customHeight="false" outlineLevel="0" collapsed="false">
      <c r="A650" s="15" t="s">
        <v>1367</v>
      </c>
      <c r="B650" s="15" t="s">
        <v>68</v>
      </c>
      <c r="C650" s="15" t="s">
        <v>1361</v>
      </c>
      <c r="D650" s="15" t="s">
        <v>1368</v>
      </c>
      <c r="E650" s="15" t="s">
        <v>170</v>
      </c>
      <c r="F650" s="24" t="s">
        <v>173</v>
      </c>
      <c r="G650" s="15" t="n">
        <f aca="false">IFERROR(INDEX(Decisions!$K$2:$K$122,MATCH(E650,Decisions!$A$2:$A$122,0)),"")</f>
        <v>0</v>
      </c>
    </row>
    <row r="651" customFormat="false" ht="15" hidden="false" customHeight="false" outlineLevel="0" collapsed="false">
      <c r="A651" s="15" t="s">
        <v>1369</v>
      </c>
      <c r="B651" s="15" t="s">
        <v>68</v>
      </c>
      <c r="C651" s="15" t="s">
        <v>1370</v>
      </c>
      <c r="D651" s="15" t="s">
        <v>1371</v>
      </c>
      <c r="E651" s="15" t="s">
        <v>191</v>
      </c>
      <c r="F651" s="24" t="s">
        <v>173</v>
      </c>
      <c r="G651" s="15" t="n">
        <f aca="false">IFERROR(INDEX(Decisions!$K$2:$K$122,MATCH(E651,Decisions!$A$2:$A$122,0)),"")</f>
        <v>0</v>
      </c>
    </row>
    <row r="652" customFormat="false" ht="15" hidden="false" customHeight="false" outlineLevel="0" collapsed="false">
      <c r="A652" s="15" t="s">
        <v>1372</v>
      </c>
      <c r="B652" s="15" t="s">
        <v>68</v>
      </c>
      <c r="C652" s="15" t="s">
        <v>1370</v>
      </c>
      <c r="D652" s="15" t="s">
        <v>1371</v>
      </c>
      <c r="E652" s="15" t="s">
        <v>99</v>
      </c>
      <c r="F652" s="23" t="s">
        <v>97</v>
      </c>
      <c r="G652" s="15" t="n">
        <f aca="false">IFERROR(INDEX(Decisions!$K$2:$K$122,MATCH(E652,Decisions!$A$2:$A$122,0)),"")</f>
        <v>0</v>
      </c>
    </row>
    <row r="653" customFormat="false" ht="15" hidden="false" customHeight="false" outlineLevel="0" collapsed="false">
      <c r="A653" s="15" t="s">
        <v>1373</v>
      </c>
      <c r="B653" s="15" t="s">
        <v>68</v>
      </c>
      <c r="C653" s="15" t="s">
        <v>1370</v>
      </c>
      <c r="D653" s="15" t="s">
        <v>1371</v>
      </c>
      <c r="E653" s="15" t="s">
        <v>108</v>
      </c>
      <c r="F653" s="23" t="s">
        <v>97</v>
      </c>
      <c r="G653" s="15" t="n">
        <f aca="false">IFERROR(INDEX(Decisions!$K$2:$K$122,MATCH(E653,Decisions!$A$2:$A$122,0)),"")</f>
        <v>0</v>
      </c>
    </row>
    <row r="654" customFormat="false" ht="15" hidden="false" customHeight="false" outlineLevel="0" collapsed="false">
      <c r="A654" s="15" t="s">
        <v>1374</v>
      </c>
      <c r="B654" s="15" t="s">
        <v>68</v>
      </c>
      <c r="C654" s="15" t="s">
        <v>1370</v>
      </c>
      <c r="D654" s="15" t="s">
        <v>1371</v>
      </c>
      <c r="E654" s="15" t="s">
        <v>106</v>
      </c>
      <c r="F654" s="23" t="s">
        <v>97</v>
      </c>
      <c r="G654" s="15" t="n">
        <f aca="false">IFERROR(INDEX(Decisions!$K$2:$K$122,MATCH(E654,Decisions!$A$2:$A$122,0)),"")</f>
        <v>0</v>
      </c>
    </row>
    <row r="655" customFormat="false" ht="15" hidden="false" customHeight="false" outlineLevel="0" collapsed="false">
      <c r="A655" s="15" t="s">
        <v>1375</v>
      </c>
      <c r="B655" s="15" t="s">
        <v>68</v>
      </c>
      <c r="C655" s="15" t="s">
        <v>1370</v>
      </c>
      <c r="D655" s="15" t="s">
        <v>1371</v>
      </c>
      <c r="E655" s="15" t="s">
        <v>194</v>
      </c>
      <c r="F655" s="24" t="s">
        <v>173</v>
      </c>
      <c r="G655" s="15" t="n">
        <f aca="false">IFERROR(INDEX(Decisions!$K$2:$K$122,MATCH(E655,Decisions!$A$2:$A$122,0)),"")</f>
        <v>0</v>
      </c>
    </row>
    <row r="656" customFormat="false" ht="15" hidden="false" customHeight="false" outlineLevel="0" collapsed="false">
      <c r="A656" s="15" t="s">
        <v>1376</v>
      </c>
      <c r="B656" s="15" t="s">
        <v>68</v>
      </c>
      <c r="C656" s="15" t="s">
        <v>1370</v>
      </c>
      <c r="D656" s="15" t="s">
        <v>1371</v>
      </c>
      <c r="E656" s="15" t="s">
        <v>58</v>
      </c>
      <c r="F656" s="25" t="s">
        <v>26</v>
      </c>
      <c r="G656" s="15" t="str">
        <f aca="false">IFERROR(INDEX(Decisions!$K$2:$K$122,MATCH(E656,Decisions!$A$2:$A$122,0)),"")</f>
        <v>drop</v>
      </c>
    </row>
    <row r="657" customFormat="false" ht="15" hidden="false" customHeight="false" outlineLevel="0" collapsed="false">
      <c r="A657" s="15" t="s">
        <v>1377</v>
      </c>
      <c r="B657" s="15" t="s">
        <v>68</v>
      </c>
      <c r="C657" s="15" t="s">
        <v>1370</v>
      </c>
      <c r="D657" s="15" t="s">
        <v>1371</v>
      </c>
      <c r="E657" s="15" t="s">
        <v>22</v>
      </c>
      <c r="F657" s="25" t="s">
        <v>26</v>
      </c>
      <c r="G657" s="15" t="str">
        <f aca="false">IFERROR(INDEX(Decisions!$K$2:$K$122,MATCH(E657,Decisions!$A$2:$A$122,0)),"")</f>
        <v>drop</v>
      </c>
    </row>
    <row r="658" customFormat="false" ht="15" hidden="false" customHeight="false" outlineLevel="0" collapsed="false">
      <c r="A658" s="15" t="s">
        <v>1378</v>
      </c>
      <c r="B658" s="15" t="s">
        <v>68</v>
      </c>
      <c r="C658" s="15" t="s">
        <v>1370</v>
      </c>
      <c r="D658" s="15" t="s">
        <v>1379</v>
      </c>
      <c r="E658" s="15" t="s">
        <v>191</v>
      </c>
      <c r="F658" s="24" t="s">
        <v>173</v>
      </c>
      <c r="G658" s="15" t="n">
        <f aca="false">IFERROR(INDEX(Decisions!$K$2:$K$122,MATCH(E658,Decisions!$A$2:$A$122,0)),"")</f>
        <v>0</v>
      </c>
    </row>
    <row r="659" customFormat="false" ht="15" hidden="false" customHeight="false" outlineLevel="0" collapsed="false">
      <c r="A659" s="15" t="s">
        <v>1380</v>
      </c>
      <c r="B659" s="15" t="s">
        <v>68</v>
      </c>
      <c r="C659" s="15" t="s">
        <v>1370</v>
      </c>
      <c r="D659" s="15" t="s">
        <v>1379</v>
      </c>
      <c r="E659" s="15" t="s">
        <v>99</v>
      </c>
      <c r="F659" s="23" t="s">
        <v>97</v>
      </c>
      <c r="G659" s="15" t="n">
        <f aca="false">IFERROR(INDEX(Decisions!$K$2:$K$122,MATCH(E659,Decisions!$A$2:$A$122,0)),"")</f>
        <v>0</v>
      </c>
    </row>
    <row r="660" customFormat="false" ht="15" hidden="false" customHeight="false" outlineLevel="0" collapsed="false">
      <c r="A660" s="15" t="s">
        <v>1381</v>
      </c>
      <c r="B660" s="15" t="s">
        <v>68</v>
      </c>
      <c r="C660" s="15" t="s">
        <v>1370</v>
      </c>
      <c r="D660" s="15" t="s">
        <v>1379</v>
      </c>
      <c r="E660" s="15" t="s">
        <v>108</v>
      </c>
      <c r="F660" s="23" t="s">
        <v>97</v>
      </c>
      <c r="G660" s="15" t="n">
        <f aca="false">IFERROR(INDEX(Decisions!$K$2:$K$122,MATCH(E660,Decisions!$A$2:$A$122,0)),"")</f>
        <v>0</v>
      </c>
    </row>
    <row r="661" customFormat="false" ht="15" hidden="false" customHeight="false" outlineLevel="0" collapsed="false">
      <c r="A661" s="15" t="s">
        <v>1382</v>
      </c>
      <c r="B661" s="15" t="s">
        <v>68</v>
      </c>
      <c r="C661" s="15" t="s">
        <v>1370</v>
      </c>
      <c r="D661" s="15" t="s">
        <v>1379</v>
      </c>
      <c r="E661" s="15" t="s">
        <v>106</v>
      </c>
      <c r="F661" s="23" t="s">
        <v>97</v>
      </c>
      <c r="G661" s="15" t="n">
        <f aca="false">IFERROR(INDEX(Decisions!$K$2:$K$122,MATCH(E661,Decisions!$A$2:$A$122,0)),"")</f>
        <v>0</v>
      </c>
    </row>
    <row r="662" customFormat="false" ht="15" hidden="false" customHeight="false" outlineLevel="0" collapsed="false">
      <c r="A662" s="15" t="s">
        <v>1383</v>
      </c>
      <c r="B662" s="15" t="s">
        <v>68</v>
      </c>
      <c r="C662" s="15" t="s">
        <v>1370</v>
      </c>
      <c r="D662" s="15" t="s">
        <v>1379</v>
      </c>
      <c r="E662" s="15" t="s">
        <v>194</v>
      </c>
      <c r="F662" s="24" t="s">
        <v>173</v>
      </c>
      <c r="G662" s="15" t="n">
        <f aca="false">IFERROR(INDEX(Decisions!$K$2:$K$122,MATCH(E662,Decisions!$A$2:$A$122,0)),"")</f>
        <v>0</v>
      </c>
    </row>
    <row r="663" customFormat="false" ht="15" hidden="false" customHeight="false" outlineLevel="0" collapsed="false">
      <c r="A663" s="15" t="s">
        <v>1384</v>
      </c>
      <c r="B663" s="15" t="s">
        <v>68</v>
      </c>
      <c r="C663" s="15" t="s">
        <v>1370</v>
      </c>
      <c r="D663" s="15" t="s">
        <v>1379</v>
      </c>
      <c r="E663" s="15" t="s">
        <v>58</v>
      </c>
      <c r="F663" s="25" t="s">
        <v>26</v>
      </c>
      <c r="G663" s="15" t="str">
        <f aca="false">IFERROR(INDEX(Decisions!$K$2:$K$122,MATCH(E663,Decisions!$A$2:$A$122,0)),"")</f>
        <v>drop</v>
      </c>
    </row>
    <row r="664" customFormat="false" ht="15" hidden="false" customHeight="false" outlineLevel="0" collapsed="false">
      <c r="A664" s="15" t="s">
        <v>1385</v>
      </c>
      <c r="B664" s="15" t="s">
        <v>68</v>
      </c>
      <c r="C664" s="15" t="s">
        <v>1370</v>
      </c>
      <c r="D664" s="15" t="s">
        <v>1386</v>
      </c>
      <c r="E664" s="15" t="s">
        <v>278</v>
      </c>
      <c r="F664" s="24" t="s">
        <v>173</v>
      </c>
      <c r="G664" s="15" t="n">
        <f aca="false">IFERROR(INDEX(Decisions!$K$2:$K$122,MATCH(E664,Decisions!$A$2:$A$122,0)),"")</f>
        <v>0</v>
      </c>
    </row>
    <row r="665" customFormat="false" ht="15" hidden="false" customHeight="false" outlineLevel="0" collapsed="false">
      <c r="A665" s="15" t="s">
        <v>1387</v>
      </c>
      <c r="B665" s="15" t="s">
        <v>68</v>
      </c>
      <c r="C665" s="15" t="s">
        <v>1370</v>
      </c>
      <c r="D665" s="15" t="s">
        <v>1388</v>
      </c>
      <c r="E665" s="15" t="s">
        <v>278</v>
      </c>
      <c r="F665" s="24" t="s">
        <v>173</v>
      </c>
      <c r="G665" s="15" t="n">
        <f aca="false">IFERROR(INDEX(Decisions!$K$2:$K$122,MATCH(E665,Decisions!$A$2:$A$122,0)),"")</f>
        <v>0</v>
      </c>
    </row>
    <row r="666" customFormat="false" ht="15" hidden="false" customHeight="false" outlineLevel="0" collapsed="false">
      <c r="A666" s="15" t="s">
        <v>1389</v>
      </c>
      <c r="B666" s="15" t="s">
        <v>68</v>
      </c>
      <c r="C666" s="15" t="s">
        <v>1370</v>
      </c>
      <c r="D666" s="15" t="s">
        <v>1390</v>
      </c>
      <c r="E666" s="15" t="s">
        <v>276</v>
      </c>
      <c r="F666" s="24" t="s">
        <v>173</v>
      </c>
      <c r="G666" s="15" t="n">
        <f aca="false">IFERROR(INDEX(Decisions!$K$2:$K$122,MATCH(E666,Decisions!$A$2:$A$122,0)),"")</f>
        <v>0</v>
      </c>
    </row>
    <row r="667" customFormat="false" ht="15" hidden="false" customHeight="false" outlineLevel="0" collapsed="false">
      <c r="A667" s="15" t="s">
        <v>1391</v>
      </c>
      <c r="B667" s="15" t="s">
        <v>68</v>
      </c>
      <c r="C667" s="15" t="s">
        <v>1370</v>
      </c>
      <c r="D667" s="15" t="s">
        <v>1390</v>
      </c>
      <c r="E667" s="15" t="s">
        <v>268</v>
      </c>
      <c r="F667" s="24" t="s">
        <v>173</v>
      </c>
      <c r="G667" s="15" t="n">
        <f aca="false">IFERROR(INDEX(Decisions!$K$2:$K$122,MATCH(E667,Decisions!$A$2:$A$122,0)),"")</f>
        <v>0</v>
      </c>
    </row>
    <row r="668" customFormat="false" ht="15" hidden="false" customHeight="false" outlineLevel="0" collapsed="false">
      <c r="A668" s="15" t="s">
        <v>1392</v>
      </c>
      <c r="B668" s="15" t="s">
        <v>68</v>
      </c>
      <c r="C668" s="15" t="s">
        <v>1370</v>
      </c>
      <c r="D668" s="15" t="s">
        <v>1390</v>
      </c>
      <c r="E668" s="15" t="s">
        <v>298</v>
      </c>
      <c r="F668" s="24" t="s">
        <v>173</v>
      </c>
      <c r="G668" s="15" t="n">
        <f aca="false">IFERROR(INDEX(Decisions!$K$2:$K$122,MATCH(E668,Decisions!$A$2:$A$122,0)),"")</f>
        <v>0</v>
      </c>
    </row>
    <row r="669" customFormat="false" ht="15" hidden="false" customHeight="false" outlineLevel="0" collapsed="false">
      <c r="A669" s="15" t="s">
        <v>1393</v>
      </c>
      <c r="B669" s="15" t="s">
        <v>68</v>
      </c>
      <c r="C669" s="15" t="s">
        <v>1370</v>
      </c>
      <c r="D669" s="15" t="s">
        <v>1390</v>
      </c>
      <c r="E669" s="15" t="s">
        <v>300</v>
      </c>
      <c r="F669" s="24" t="s">
        <v>173</v>
      </c>
      <c r="G669" s="15" t="n">
        <f aca="false">IFERROR(INDEX(Decisions!$K$2:$K$122,MATCH(E669,Decisions!$A$2:$A$122,0)),"")</f>
        <v>0</v>
      </c>
    </row>
    <row r="670" customFormat="false" ht="15" hidden="false" customHeight="false" outlineLevel="0" collapsed="false">
      <c r="A670" s="15" t="s">
        <v>1394</v>
      </c>
      <c r="B670" s="15" t="s">
        <v>68</v>
      </c>
      <c r="C670" s="15" t="s">
        <v>1370</v>
      </c>
      <c r="D670" s="15" t="s">
        <v>1395</v>
      </c>
      <c r="E670" s="15" t="s">
        <v>276</v>
      </c>
      <c r="F670" s="24" t="s">
        <v>173</v>
      </c>
      <c r="G670" s="15" t="n">
        <f aca="false">IFERROR(INDEX(Decisions!$K$2:$K$122,MATCH(E670,Decisions!$A$2:$A$122,0)),"")</f>
        <v>0</v>
      </c>
    </row>
    <row r="671" customFormat="false" ht="15" hidden="false" customHeight="false" outlineLevel="0" collapsed="false">
      <c r="A671" s="15" t="s">
        <v>1396</v>
      </c>
      <c r="B671" s="15" t="s">
        <v>68</v>
      </c>
      <c r="C671" s="15" t="s">
        <v>1370</v>
      </c>
      <c r="D671" s="15" t="s">
        <v>1395</v>
      </c>
      <c r="E671" s="15" t="s">
        <v>268</v>
      </c>
      <c r="F671" s="24" t="s">
        <v>173</v>
      </c>
      <c r="G671" s="15" t="n">
        <f aca="false">IFERROR(INDEX(Decisions!$K$2:$K$122,MATCH(E671,Decisions!$A$2:$A$122,0)),"")</f>
        <v>0</v>
      </c>
    </row>
    <row r="672" customFormat="false" ht="15" hidden="false" customHeight="false" outlineLevel="0" collapsed="false">
      <c r="A672" s="15" t="s">
        <v>1397</v>
      </c>
      <c r="B672" s="15" t="s">
        <v>68</v>
      </c>
      <c r="C672" s="15" t="s">
        <v>1370</v>
      </c>
      <c r="D672" s="15" t="s">
        <v>1395</v>
      </c>
      <c r="E672" s="15" t="s">
        <v>298</v>
      </c>
      <c r="F672" s="24" t="s">
        <v>173</v>
      </c>
      <c r="G672" s="15" t="n">
        <f aca="false">IFERROR(INDEX(Decisions!$K$2:$K$122,MATCH(E672,Decisions!$A$2:$A$122,0)),"")</f>
        <v>0</v>
      </c>
    </row>
    <row r="673" customFormat="false" ht="15" hidden="false" customHeight="false" outlineLevel="0" collapsed="false">
      <c r="A673" s="15" t="s">
        <v>1398</v>
      </c>
      <c r="B673" s="15" t="s">
        <v>68</v>
      </c>
      <c r="C673" s="15" t="s">
        <v>1370</v>
      </c>
      <c r="D673" s="15" t="s">
        <v>1395</v>
      </c>
      <c r="E673" s="15" t="s">
        <v>300</v>
      </c>
      <c r="F673" s="24" t="s">
        <v>173</v>
      </c>
      <c r="G673" s="15" t="n">
        <f aca="false">IFERROR(INDEX(Decisions!$K$2:$K$122,MATCH(E673,Decisions!$A$2:$A$122,0)),"")</f>
        <v>0</v>
      </c>
    </row>
    <row r="674" customFormat="false" ht="15" hidden="false" customHeight="false" outlineLevel="0" collapsed="false">
      <c r="A674" s="15" t="s">
        <v>1399</v>
      </c>
      <c r="B674" s="15" t="s">
        <v>68</v>
      </c>
      <c r="C674" s="15" t="s">
        <v>1400</v>
      </c>
      <c r="D674" s="15" t="s">
        <v>1401</v>
      </c>
      <c r="E674" s="15" t="s">
        <v>187</v>
      </c>
      <c r="F674" s="24" t="s">
        <v>173</v>
      </c>
      <c r="G674" s="15" t="n">
        <f aca="false">IFERROR(INDEX(Decisions!$K$2:$K$122,MATCH(E674,Decisions!$A$2:$A$122,0)),"")</f>
        <v>0</v>
      </c>
    </row>
    <row r="675" customFormat="false" ht="15" hidden="false" customHeight="false" outlineLevel="0" collapsed="false">
      <c r="A675" s="15" t="s">
        <v>1402</v>
      </c>
      <c r="B675" s="15" t="s">
        <v>68</v>
      </c>
      <c r="C675" s="15" t="s">
        <v>1400</v>
      </c>
      <c r="D675" s="15" t="s">
        <v>1401</v>
      </c>
      <c r="E675" s="15" t="s">
        <v>170</v>
      </c>
      <c r="F675" s="24" t="s">
        <v>173</v>
      </c>
      <c r="G675" s="15" t="n">
        <f aca="false">IFERROR(INDEX(Decisions!$K$2:$K$122,MATCH(E675,Decisions!$A$2:$A$122,0)),"")</f>
        <v>0</v>
      </c>
    </row>
    <row r="676" customFormat="false" ht="15" hidden="false" customHeight="false" outlineLevel="0" collapsed="false">
      <c r="A676" s="15" t="s">
        <v>1403</v>
      </c>
      <c r="B676" s="15" t="s">
        <v>68</v>
      </c>
      <c r="C676" s="15" t="s">
        <v>1400</v>
      </c>
      <c r="D676" s="15" t="s">
        <v>1404</v>
      </c>
      <c r="E676" s="15" t="s">
        <v>177</v>
      </c>
      <c r="F676" s="24" t="s">
        <v>173</v>
      </c>
      <c r="G676" s="15" t="n">
        <f aca="false">IFERROR(INDEX(Decisions!$K$2:$K$122,MATCH(E676,Decisions!$A$2:$A$122,0)),"")</f>
        <v>0</v>
      </c>
    </row>
    <row r="677" customFormat="false" ht="15" hidden="false" customHeight="false" outlineLevel="0" collapsed="false">
      <c r="A677" s="15" t="s">
        <v>1405</v>
      </c>
      <c r="B677" s="15" t="s">
        <v>68</v>
      </c>
      <c r="C677" s="15" t="s">
        <v>1400</v>
      </c>
      <c r="D677" s="15" t="s">
        <v>1406</v>
      </c>
      <c r="E677" s="15" t="s">
        <v>177</v>
      </c>
      <c r="F677" s="24" t="s">
        <v>173</v>
      </c>
      <c r="G677" s="15" t="n">
        <f aca="false">IFERROR(INDEX(Decisions!$K$2:$K$122,MATCH(E677,Decisions!$A$2:$A$122,0)),"")</f>
        <v>0</v>
      </c>
    </row>
    <row r="678" customFormat="false" ht="15" hidden="false" customHeight="false" outlineLevel="0" collapsed="false">
      <c r="A678" s="15" t="s">
        <v>1407</v>
      </c>
      <c r="B678" s="15" t="s">
        <v>68</v>
      </c>
      <c r="C678" s="15" t="s">
        <v>1400</v>
      </c>
      <c r="D678" s="15" t="s">
        <v>1408</v>
      </c>
      <c r="E678" s="15" t="s">
        <v>228</v>
      </c>
      <c r="F678" s="24" t="s">
        <v>173</v>
      </c>
      <c r="G678" s="15" t="n">
        <f aca="false">IFERROR(INDEX(Decisions!$K$2:$K$122,MATCH(E678,Decisions!$A$2:$A$122,0)),"")</f>
        <v>0</v>
      </c>
    </row>
    <row r="679" customFormat="false" ht="15" hidden="false" customHeight="false" outlineLevel="0" collapsed="false">
      <c r="A679" s="15" t="s">
        <v>1409</v>
      </c>
      <c r="B679" s="15" t="s">
        <v>68</v>
      </c>
      <c r="C679" s="15" t="s">
        <v>1400</v>
      </c>
      <c r="D679" s="15" t="s">
        <v>1408</v>
      </c>
      <c r="E679" s="15" t="s">
        <v>170</v>
      </c>
      <c r="F679" s="24" t="s">
        <v>173</v>
      </c>
      <c r="G679" s="15" t="n">
        <f aca="false">IFERROR(INDEX(Decisions!$K$2:$K$122,MATCH(E679,Decisions!$A$2:$A$122,0)),"")</f>
        <v>0</v>
      </c>
    </row>
    <row r="680" customFormat="false" ht="15" hidden="false" customHeight="false" outlineLevel="0" collapsed="false">
      <c r="A680" s="15" t="s">
        <v>1410</v>
      </c>
      <c r="B680" s="15" t="s">
        <v>68</v>
      </c>
      <c r="C680" s="15" t="s">
        <v>1400</v>
      </c>
      <c r="D680" s="15" t="s">
        <v>1411</v>
      </c>
      <c r="E680" s="15" t="s">
        <v>170</v>
      </c>
      <c r="F680" s="24" t="s">
        <v>173</v>
      </c>
      <c r="G680" s="15" t="n">
        <f aca="false">IFERROR(INDEX(Decisions!$K$2:$K$122,MATCH(E680,Decisions!$A$2:$A$122,0)),"")</f>
        <v>0</v>
      </c>
    </row>
    <row r="681" customFormat="false" ht="15" hidden="false" customHeight="false" outlineLevel="0" collapsed="false">
      <c r="A681" s="15" t="s">
        <v>1412</v>
      </c>
      <c r="B681" s="15" t="s">
        <v>68</v>
      </c>
      <c r="C681" s="15" t="s">
        <v>1413</v>
      </c>
      <c r="D681" s="15" t="s">
        <v>1414</v>
      </c>
      <c r="E681" s="15" t="s">
        <v>101</v>
      </c>
      <c r="F681" s="23" t="s">
        <v>97</v>
      </c>
      <c r="G681" s="15" t="n">
        <f aca="false">IFERROR(INDEX(Decisions!$K$2:$K$122,MATCH(E681,Decisions!$A$2:$A$122,0)),"")</f>
        <v>0</v>
      </c>
    </row>
    <row r="682" customFormat="false" ht="15" hidden="false" customHeight="false" outlineLevel="0" collapsed="false">
      <c r="A682" s="15" t="s">
        <v>1415</v>
      </c>
      <c r="B682" s="15" t="s">
        <v>68</v>
      </c>
      <c r="C682" s="15" t="s">
        <v>1413</v>
      </c>
      <c r="D682" s="15" t="s">
        <v>1414</v>
      </c>
      <c r="E682" s="15" t="s">
        <v>104</v>
      </c>
      <c r="F682" s="23" t="s">
        <v>97</v>
      </c>
      <c r="G682" s="15" t="n">
        <f aca="false">IFERROR(INDEX(Decisions!$K$2:$K$122,MATCH(E682,Decisions!$A$2:$A$122,0)),"")</f>
        <v>0</v>
      </c>
    </row>
    <row r="683" customFormat="false" ht="15" hidden="false" customHeight="false" outlineLevel="0" collapsed="false">
      <c r="A683" s="15" t="s">
        <v>1416</v>
      </c>
      <c r="B683" s="15" t="s">
        <v>68</v>
      </c>
      <c r="C683" s="15" t="s">
        <v>1413</v>
      </c>
      <c r="D683" s="15" t="s">
        <v>1414</v>
      </c>
      <c r="E683" s="15" t="s">
        <v>201</v>
      </c>
      <c r="F683" s="24" t="s">
        <v>173</v>
      </c>
      <c r="G683" s="15" t="n">
        <f aca="false">IFERROR(INDEX(Decisions!$K$2:$K$122,MATCH(E683,Decisions!$A$2:$A$122,0)),"")</f>
        <v>0</v>
      </c>
    </row>
    <row r="684" customFormat="false" ht="15" hidden="false" customHeight="false" outlineLevel="0" collapsed="false">
      <c r="A684" s="15" t="s">
        <v>1417</v>
      </c>
      <c r="B684" s="15" t="s">
        <v>68</v>
      </c>
      <c r="C684" s="15" t="s">
        <v>1413</v>
      </c>
      <c r="D684" s="15" t="s">
        <v>1414</v>
      </c>
      <c r="E684" s="15" t="s">
        <v>209</v>
      </c>
      <c r="F684" s="24" t="s">
        <v>173</v>
      </c>
      <c r="G684" s="15" t="n">
        <f aca="false">IFERROR(INDEX(Decisions!$K$2:$K$122,MATCH(E684,Decisions!$A$2:$A$122,0)),"")</f>
        <v>0</v>
      </c>
    </row>
    <row r="685" customFormat="false" ht="15" hidden="false" customHeight="false" outlineLevel="0" collapsed="false">
      <c r="A685" s="15" t="s">
        <v>1418</v>
      </c>
      <c r="B685" s="15" t="s">
        <v>68</v>
      </c>
      <c r="C685" s="15" t="s">
        <v>1413</v>
      </c>
      <c r="D685" s="15" t="s">
        <v>1414</v>
      </c>
      <c r="E685" s="15" t="s">
        <v>206</v>
      </c>
      <c r="F685" s="24" t="s">
        <v>173</v>
      </c>
      <c r="G685" s="15" t="n">
        <f aca="false">IFERROR(INDEX(Decisions!$K$2:$K$122,MATCH(E685,Decisions!$A$2:$A$122,0)),"")</f>
        <v>0</v>
      </c>
    </row>
    <row r="686" customFormat="false" ht="15" hidden="false" customHeight="false" outlineLevel="0" collapsed="false">
      <c r="A686" s="15" t="s">
        <v>1419</v>
      </c>
      <c r="B686" s="15" t="s">
        <v>68</v>
      </c>
      <c r="C686" s="15" t="s">
        <v>1413</v>
      </c>
      <c r="D686" s="15" t="s">
        <v>754</v>
      </c>
      <c r="E686" s="15" t="s">
        <v>94</v>
      </c>
      <c r="F686" s="23" t="s">
        <v>97</v>
      </c>
      <c r="G686" s="15" t="n">
        <f aca="false">IFERROR(INDEX(Decisions!$K$2:$K$122,MATCH(E686,Decisions!$A$2:$A$122,0)),"")</f>
        <v>0</v>
      </c>
    </row>
    <row r="687" customFormat="false" ht="15" hidden="false" customHeight="false" outlineLevel="0" collapsed="false">
      <c r="A687" s="15" t="s">
        <v>1420</v>
      </c>
      <c r="B687" s="15" t="s">
        <v>68</v>
      </c>
      <c r="C687" s="15" t="s">
        <v>1413</v>
      </c>
      <c r="D687" s="15" t="s">
        <v>754</v>
      </c>
      <c r="E687" s="15" t="s">
        <v>215</v>
      </c>
      <c r="F687" s="24" t="s">
        <v>173</v>
      </c>
      <c r="G687" s="15" t="n">
        <f aca="false">IFERROR(INDEX(Decisions!$K$2:$K$122,MATCH(E687,Decisions!$A$2:$A$122,0)),"")</f>
        <v>0</v>
      </c>
    </row>
    <row r="688" customFormat="false" ht="15" hidden="false" customHeight="false" outlineLevel="0" collapsed="false">
      <c r="A688" s="15" t="s">
        <v>1421</v>
      </c>
      <c r="B688" s="15" t="s">
        <v>68</v>
      </c>
      <c r="C688" s="15" t="s">
        <v>1413</v>
      </c>
      <c r="D688" s="15" t="s">
        <v>754</v>
      </c>
      <c r="E688" s="15" t="s">
        <v>233</v>
      </c>
      <c r="F688" s="24" t="s">
        <v>173</v>
      </c>
      <c r="G688" s="15" t="n">
        <f aca="false">IFERROR(INDEX(Decisions!$K$2:$K$122,MATCH(E688,Decisions!$A$2:$A$122,0)),"")</f>
        <v>0</v>
      </c>
    </row>
    <row r="689" customFormat="false" ht="15" hidden="false" customHeight="false" outlineLevel="0" collapsed="false">
      <c r="A689" s="15" t="s">
        <v>1422</v>
      </c>
      <c r="B689" s="15" t="s">
        <v>68</v>
      </c>
      <c r="C689" s="15" t="s">
        <v>1413</v>
      </c>
      <c r="D689" s="15" t="s">
        <v>754</v>
      </c>
      <c r="E689" s="15" t="s">
        <v>183</v>
      </c>
      <c r="F689" s="24" t="s">
        <v>173</v>
      </c>
      <c r="G689" s="15" t="n">
        <f aca="false">IFERROR(INDEX(Decisions!$K$2:$K$122,MATCH(E689,Decisions!$A$2:$A$122,0)),"")</f>
        <v>0</v>
      </c>
    </row>
    <row r="690" customFormat="false" ht="15" hidden="false" customHeight="false" outlineLevel="0" collapsed="false">
      <c r="A690" s="15" t="s">
        <v>1423</v>
      </c>
      <c r="B690" s="15" t="s">
        <v>68</v>
      </c>
      <c r="C690" s="15" t="s">
        <v>1424</v>
      </c>
      <c r="D690" s="15" t="s">
        <v>596</v>
      </c>
      <c r="E690" s="15" t="s">
        <v>222</v>
      </c>
      <c r="F690" s="24" t="s">
        <v>173</v>
      </c>
      <c r="G690" s="15" t="n">
        <f aca="false">IFERROR(INDEX(Decisions!$K$2:$K$122,MATCH(E690,Decisions!$A$2:$A$122,0)),"")</f>
        <v>0</v>
      </c>
    </row>
    <row r="691" customFormat="false" ht="15" hidden="false" customHeight="false" outlineLevel="0" collapsed="false">
      <c r="A691" s="15" t="s">
        <v>1425</v>
      </c>
      <c r="B691" s="15" t="s">
        <v>68</v>
      </c>
      <c r="C691" s="15" t="s">
        <v>1424</v>
      </c>
      <c r="D691" s="15" t="s">
        <v>598</v>
      </c>
      <c r="E691" s="15" t="s">
        <v>110</v>
      </c>
      <c r="F691" s="23" t="s">
        <v>97</v>
      </c>
      <c r="G691" s="15" t="n">
        <f aca="false">IFERROR(INDEX(Decisions!$K$2:$K$122,MATCH(E691,Decisions!$A$2:$A$122,0)),"")</f>
        <v>0</v>
      </c>
    </row>
    <row r="692" customFormat="false" ht="15" hidden="false" customHeight="false" outlineLevel="0" collapsed="false">
      <c r="A692" s="15" t="s">
        <v>1426</v>
      </c>
      <c r="B692" s="15" t="s">
        <v>68</v>
      </c>
      <c r="C692" s="15" t="s">
        <v>1424</v>
      </c>
      <c r="D692" s="15" t="s">
        <v>598</v>
      </c>
      <c r="E692" s="15" t="s">
        <v>198</v>
      </c>
      <c r="F692" s="24" t="s">
        <v>173</v>
      </c>
      <c r="G692" s="15" t="n">
        <f aca="false">IFERROR(INDEX(Decisions!$K$2:$K$122,MATCH(E692,Decisions!$A$2:$A$122,0)),"")</f>
        <v>0</v>
      </c>
    </row>
    <row r="693" customFormat="false" ht="15" hidden="false" customHeight="false" outlineLevel="0" collapsed="false">
      <c r="A693" s="15" t="s">
        <v>1427</v>
      </c>
      <c r="B693" s="15" t="s">
        <v>68</v>
      </c>
      <c r="C693" s="15" t="s">
        <v>1428</v>
      </c>
      <c r="D693" s="15" t="s">
        <v>1429</v>
      </c>
      <c r="E693" s="15" t="s">
        <v>66</v>
      </c>
      <c r="F693" s="25" t="s">
        <v>26</v>
      </c>
      <c r="G693" s="15" t="str">
        <f aca="false">IFERROR(INDEX(Decisions!$K$2:$K$122,MATCH(E693,Decisions!$A$2:$A$122,0)),"")</f>
        <v>keep</v>
      </c>
    </row>
    <row r="694" customFormat="false" ht="15" hidden="false" customHeight="false" outlineLevel="0" collapsed="false">
      <c r="A694" s="15" t="s">
        <v>1430</v>
      </c>
      <c r="B694" s="15" t="s">
        <v>68</v>
      </c>
      <c r="C694" s="15" t="s">
        <v>1428</v>
      </c>
      <c r="D694" s="15" t="s">
        <v>1429</v>
      </c>
      <c r="E694" s="15" t="s">
        <v>128</v>
      </c>
      <c r="F694" s="23" t="s">
        <v>97</v>
      </c>
      <c r="G694" s="15" t="n">
        <f aca="false">IFERROR(INDEX(Decisions!$K$2:$K$122,MATCH(E694,Decisions!$A$2:$A$122,0)),"")</f>
        <v>0</v>
      </c>
    </row>
    <row r="695" customFormat="false" ht="15" hidden="false" customHeight="false" outlineLevel="0" collapsed="false">
      <c r="A695" s="15" t="s">
        <v>1431</v>
      </c>
      <c r="B695" s="15" t="s">
        <v>68</v>
      </c>
      <c r="C695" s="15" t="s">
        <v>1432</v>
      </c>
      <c r="D695" s="15" t="s">
        <v>1433</v>
      </c>
      <c r="E695" s="15" t="s">
        <v>345</v>
      </c>
      <c r="F695" s="24" t="s">
        <v>173</v>
      </c>
      <c r="G695" s="15" t="n">
        <f aca="false">IFERROR(INDEX(Decisions!$K$2:$K$122,MATCH(E695,Decisions!$A$2:$A$122,0)),"")</f>
        <v>0</v>
      </c>
    </row>
    <row r="696" customFormat="false" ht="15" hidden="false" customHeight="false" outlineLevel="0" collapsed="false">
      <c r="A696" s="15" t="s">
        <v>1434</v>
      </c>
      <c r="B696" s="15" t="s">
        <v>68</v>
      </c>
      <c r="C696" s="15" t="s">
        <v>1432</v>
      </c>
      <c r="D696" s="15" t="s">
        <v>1433</v>
      </c>
      <c r="E696" s="15" t="s">
        <v>161</v>
      </c>
      <c r="F696" s="23" t="s">
        <v>97</v>
      </c>
      <c r="G696" s="15" t="n">
        <f aca="false">IFERROR(INDEX(Decisions!$K$2:$K$122,MATCH(E696,Decisions!$A$2:$A$122,0)),"")</f>
        <v>0</v>
      </c>
    </row>
    <row r="697" customFormat="false" ht="15" hidden="false" customHeight="false" outlineLevel="0" collapsed="false">
      <c r="A697" s="15" t="s">
        <v>1435</v>
      </c>
      <c r="B697" s="15" t="s">
        <v>68</v>
      </c>
      <c r="C697" s="15" t="s">
        <v>1436</v>
      </c>
      <c r="D697" s="15" t="s">
        <v>587</v>
      </c>
      <c r="E697" s="15" t="s">
        <v>177</v>
      </c>
      <c r="F697" s="24" t="s">
        <v>173</v>
      </c>
      <c r="G697" s="15" t="n">
        <f aca="false">IFERROR(INDEX(Decisions!$K$2:$K$122,MATCH(E697,Decisions!$A$2:$A$122,0)),"")</f>
        <v>0</v>
      </c>
    </row>
    <row r="698" customFormat="false" ht="15" hidden="false" customHeight="false" outlineLevel="0" collapsed="false">
      <c r="A698" s="15" t="s">
        <v>1437</v>
      </c>
      <c r="B698" s="15" t="s">
        <v>68</v>
      </c>
      <c r="C698" s="15" t="s">
        <v>1436</v>
      </c>
      <c r="D698" s="15" t="s">
        <v>1438</v>
      </c>
      <c r="E698" s="15" t="s">
        <v>177</v>
      </c>
      <c r="F698" s="24" t="s">
        <v>173</v>
      </c>
      <c r="G698" s="15" t="n">
        <f aca="false">IFERROR(INDEX(Decisions!$K$2:$K$122,MATCH(E698,Decisions!$A$2:$A$122,0)),"")</f>
        <v>0</v>
      </c>
    </row>
    <row r="699" customFormat="false" ht="15" hidden="false" customHeight="false" outlineLevel="0" collapsed="false">
      <c r="A699" s="15" t="s">
        <v>1439</v>
      </c>
      <c r="B699" s="15" t="s">
        <v>68</v>
      </c>
      <c r="C699" s="15" t="s">
        <v>1436</v>
      </c>
      <c r="D699" s="15" t="s">
        <v>1440</v>
      </c>
      <c r="E699" s="15" t="s">
        <v>228</v>
      </c>
      <c r="F699" s="24" t="s">
        <v>173</v>
      </c>
      <c r="G699" s="15" t="n">
        <f aca="false">IFERROR(INDEX(Decisions!$K$2:$K$122,MATCH(E699,Decisions!$A$2:$A$122,0)),"")</f>
        <v>0</v>
      </c>
    </row>
    <row r="700" customFormat="false" ht="15" hidden="false" customHeight="false" outlineLevel="0" collapsed="false">
      <c r="A700" s="15" t="s">
        <v>1441</v>
      </c>
      <c r="B700" s="15" t="s">
        <v>68</v>
      </c>
      <c r="C700" s="15" t="s">
        <v>1436</v>
      </c>
      <c r="D700" s="15" t="s">
        <v>1440</v>
      </c>
      <c r="E700" s="15" t="s">
        <v>170</v>
      </c>
      <c r="F700" s="24" t="s">
        <v>173</v>
      </c>
      <c r="G700" s="15" t="n">
        <f aca="false">IFERROR(INDEX(Decisions!$K$2:$K$122,MATCH(E700,Decisions!$A$2:$A$122,0)),"")</f>
        <v>0</v>
      </c>
    </row>
    <row r="701" customFormat="false" ht="15" hidden="false" customHeight="false" outlineLevel="0" collapsed="false">
      <c r="A701" s="15" t="s">
        <v>1442</v>
      </c>
      <c r="B701" s="15" t="s">
        <v>68</v>
      </c>
      <c r="C701" s="15" t="s">
        <v>1443</v>
      </c>
      <c r="D701" s="15" t="s">
        <v>1444</v>
      </c>
      <c r="E701" s="15" t="s">
        <v>101</v>
      </c>
      <c r="F701" s="23" t="s">
        <v>97</v>
      </c>
      <c r="G701" s="15" t="n">
        <f aca="false">IFERROR(INDEX(Decisions!$K$2:$K$122,MATCH(E701,Decisions!$A$2:$A$122,0)),"")</f>
        <v>0</v>
      </c>
    </row>
    <row r="702" customFormat="false" ht="15" hidden="false" customHeight="false" outlineLevel="0" collapsed="false">
      <c r="A702" s="15" t="s">
        <v>1445</v>
      </c>
      <c r="B702" s="15" t="s">
        <v>68</v>
      </c>
      <c r="C702" s="15" t="s">
        <v>1443</v>
      </c>
      <c r="D702" s="15" t="s">
        <v>1444</v>
      </c>
      <c r="E702" s="15" t="s">
        <v>104</v>
      </c>
      <c r="F702" s="23" t="s">
        <v>97</v>
      </c>
      <c r="G702" s="15" t="n">
        <f aca="false">IFERROR(INDEX(Decisions!$K$2:$K$122,MATCH(E702,Decisions!$A$2:$A$122,0)),"")</f>
        <v>0</v>
      </c>
    </row>
    <row r="703" customFormat="false" ht="15" hidden="false" customHeight="false" outlineLevel="0" collapsed="false">
      <c r="A703" s="15" t="s">
        <v>1446</v>
      </c>
      <c r="B703" s="15" t="s">
        <v>68</v>
      </c>
      <c r="C703" s="15" t="s">
        <v>1443</v>
      </c>
      <c r="D703" s="15" t="s">
        <v>1444</v>
      </c>
      <c r="E703" s="15" t="s">
        <v>209</v>
      </c>
      <c r="F703" s="24" t="s">
        <v>173</v>
      </c>
      <c r="G703" s="15" t="n">
        <f aca="false">IFERROR(INDEX(Decisions!$K$2:$K$122,MATCH(E703,Decisions!$A$2:$A$122,0)),"")</f>
        <v>0</v>
      </c>
    </row>
    <row r="704" customFormat="false" ht="15" hidden="false" customHeight="false" outlineLevel="0" collapsed="false">
      <c r="A704" s="15" t="s">
        <v>1447</v>
      </c>
      <c r="B704" s="15" t="s">
        <v>68</v>
      </c>
      <c r="C704" s="15" t="s">
        <v>1428</v>
      </c>
      <c r="D704" s="15" t="s">
        <v>1448</v>
      </c>
      <c r="E704" s="15" t="s">
        <v>113</v>
      </c>
      <c r="F704" s="23" t="s">
        <v>97</v>
      </c>
      <c r="G704" s="15" t="n">
        <f aca="false">IFERROR(INDEX(Decisions!$K$2:$K$122,MATCH(E704,Decisions!$A$2:$A$122,0)),"")</f>
        <v>0</v>
      </c>
    </row>
    <row r="705" customFormat="false" ht="15" hidden="false" customHeight="false" outlineLevel="0" collapsed="false">
      <c r="A705" s="15" t="s">
        <v>1449</v>
      </c>
      <c r="B705" s="15" t="s">
        <v>68</v>
      </c>
      <c r="C705" s="15" t="s">
        <v>1428</v>
      </c>
      <c r="D705" s="15" t="s">
        <v>1448</v>
      </c>
      <c r="E705" s="15" t="s">
        <v>116</v>
      </c>
      <c r="F705" s="23" t="s">
        <v>97</v>
      </c>
      <c r="G705" s="15" t="n">
        <f aca="false">IFERROR(INDEX(Decisions!$K$2:$K$122,MATCH(E705,Decisions!$A$2:$A$122,0)),"")</f>
        <v>0</v>
      </c>
    </row>
    <row r="706" customFormat="false" ht="15" hidden="false" customHeight="false" outlineLevel="0" collapsed="false">
      <c r="A706" s="15" t="s">
        <v>1450</v>
      </c>
      <c r="B706" s="15" t="s">
        <v>68</v>
      </c>
      <c r="C706" s="15" t="s">
        <v>1428</v>
      </c>
      <c r="D706" s="15" t="s">
        <v>1448</v>
      </c>
      <c r="E706" s="15" t="s">
        <v>225</v>
      </c>
      <c r="F706" s="24" t="s">
        <v>173</v>
      </c>
      <c r="G706" s="15" t="n">
        <f aca="false">IFERROR(INDEX(Decisions!$K$2:$K$122,MATCH(E706,Decisions!$A$2:$A$122,0)),"")</f>
        <v>0</v>
      </c>
    </row>
    <row r="707" customFormat="false" ht="15" hidden="false" customHeight="false" outlineLevel="0" collapsed="false">
      <c r="A707" s="15" t="s">
        <v>1451</v>
      </c>
      <c r="B707" s="15" t="s">
        <v>68</v>
      </c>
      <c r="C707" s="15" t="s">
        <v>1428</v>
      </c>
      <c r="D707" s="15" t="s">
        <v>1448</v>
      </c>
      <c r="E707" s="15" t="s">
        <v>231</v>
      </c>
      <c r="F707" s="24" t="s">
        <v>173</v>
      </c>
      <c r="G707" s="15" t="n">
        <f aca="false">IFERROR(INDEX(Decisions!$K$2:$K$122,MATCH(E707,Decisions!$A$2:$A$122,0)),"")</f>
        <v>0</v>
      </c>
    </row>
    <row r="708" customFormat="false" ht="15" hidden="false" customHeight="false" outlineLevel="0" collapsed="false">
      <c r="A708" s="15" t="s">
        <v>1452</v>
      </c>
      <c r="B708" s="15" t="s">
        <v>68</v>
      </c>
      <c r="C708" s="15" t="s">
        <v>1428</v>
      </c>
      <c r="D708" s="15" t="s">
        <v>1448</v>
      </c>
      <c r="E708" s="15" t="s">
        <v>218</v>
      </c>
      <c r="F708" s="24" t="s">
        <v>173</v>
      </c>
      <c r="G708" s="15" t="n">
        <f aca="false">IFERROR(INDEX(Decisions!$K$2:$K$122,MATCH(E708,Decisions!$A$2:$A$122,0)),"")</f>
        <v>0</v>
      </c>
    </row>
    <row r="709" customFormat="false" ht="15" hidden="false" customHeight="false" outlineLevel="0" collapsed="false">
      <c r="A709" s="15" t="s">
        <v>1453</v>
      </c>
      <c r="B709" s="15" t="s">
        <v>68</v>
      </c>
      <c r="C709" s="15" t="s">
        <v>1428</v>
      </c>
      <c r="D709" s="15" t="s">
        <v>1448</v>
      </c>
      <c r="E709" s="15" t="s">
        <v>118</v>
      </c>
      <c r="F709" s="23" t="s">
        <v>97</v>
      </c>
      <c r="G709" s="15" t="n">
        <f aca="false">IFERROR(INDEX(Decisions!$K$2:$K$122,MATCH(E709,Decisions!$A$2:$A$122,0)),"")</f>
        <v>0</v>
      </c>
    </row>
    <row r="710" customFormat="false" ht="15" hidden="false" customHeight="false" outlineLevel="0" collapsed="false">
      <c r="A710" s="15" t="s">
        <v>1454</v>
      </c>
      <c r="B710" s="15" t="s">
        <v>68</v>
      </c>
      <c r="C710" s="15" t="s">
        <v>1455</v>
      </c>
      <c r="D710" s="15" t="s">
        <v>1456</v>
      </c>
      <c r="E710" s="15" t="s">
        <v>191</v>
      </c>
      <c r="F710" s="24" t="s">
        <v>173</v>
      </c>
      <c r="G710" s="15" t="n">
        <f aca="false">IFERROR(INDEX(Decisions!$K$2:$K$122,MATCH(E710,Decisions!$A$2:$A$122,0)),"")</f>
        <v>0</v>
      </c>
    </row>
    <row r="711" customFormat="false" ht="15" hidden="false" customHeight="false" outlineLevel="0" collapsed="false">
      <c r="A711" s="15" t="s">
        <v>1457</v>
      </c>
      <c r="B711" s="15" t="s">
        <v>68</v>
      </c>
      <c r="C711" s="15" t="s">
        <v>1455</v>
      </c>
      <c r="D711" s="15" t="s">
        <v>1456</v>
      </c>
      <c r="E711" s="15" t="s">
        <v>99</v>
      </c>
      <c r="F711" s="23" t="s">
        <v>97</v>
      </c>
      <c r="G711" s="15" t="n">
        <f aca="false">IFERROR(INDEX(Decisions!$K$2:$K$122,MATCH(E711,Decisions!$A$2:$A$122,0)),"")</f>
        <v>0</v>
      </c>
    </row>
    <row r="712" customFormat="false" ht="15" hidden="false" customHeight="false" outlineLevel="0" collapsed="false">
      <c r="A712" s="15" t="s">
        <v>1458</v>
      </c>
      <c r="B712" s="15" t="s">
        <v>68</v>
      </c>
      <c r="C712" s="15" t="s">
        <v>1455</v>
      </c>
      <c r="D712" s="15" t="s">
        <v>1456</v>
      </c>
      <c r="E712" s="15" t="s">
        <v>108</v>
      </c>
      <c r="F712" s="23" t="s">
        <v>97</v>
      </c>
      <c r="G712" s="15" t="n">
        <f aca="false">IFERROR(INDEX(Decisions!$K$2:$K$122,MATCH(E712,Decisions!$A$2:$A$122,0)),"")</f>
        <v>0</v>
      </c>
    </row>
    <row r="713" customFormat="false" ht="15" hidden="false" customHeight="false" outlineLevel="0" collapsed="false">
      <c r="A713" s="15" t="s">
        <v>1459</v>
      </c>
      <c r="B713" s="15" t="s">
        <v>68</v>
      </c>
      <c r="C713" s="15" t="s">
        <v>1455</v>
      </c>
      <c r="D713" s="15" t="s">
        <v>1456</v>
      </c>
      <c r="E713" s="15" t="s">
        <v>106</v>
      </c>
      <c r="F713" s="23" t="s">
        <v>97</v>
      </c>
      <c r="G713" s="15" t="n">
        <f aca="false">IFERROR(INDEX(Decisions!$K$2:$K$122,MATCH(E713,Decisions!$A$2:$A$122,0)),"")</f>
        <v>0</v>
      </c>
    </row>
    <row r="714" customFormat="false" ht="15" hidden="false" customHeight="false" outlineLevel="0" collapsed="false">
      <c r="A714" s="15" t="s">
        <v>1460</v>
      </c>
      <c r="B714" s="15" t="s">
        <v>68</v>
      </c>
      <c r="C714" s="15" t="s">
        <v>1455</v>
      </c>
      <c r="D714" s="15" t="s">
        <v>1456</v>
      </c>
      <c r="E714" s="15" t="s">
        <v>194</v>
      </c>
      <c r="F714" s="24" t="s">
        <v>173</v>
      </c>
      <c r="G714" s="15" t="n">
        <f aca="false">IFERROR(INDEX(Decisions!$K$2:$K$122,MATCH(E714,Decisions!$A$2:$A$122,0)),"")</f>
        <v>0</v>
      </c>
    </row>
    <row r="715" customFormat="false" ht="15" hidden="false" customHeight="false" outlineLevel="0" collapsed="false">
      <c r="A715" s="15" t="s">
        <v>1461</v>
      </c>
      <c r="B715" s="15" t="s">
        <v>68</v>
      </c>
      <c r="C715" s="15" t="s">
        <v>1455</v>
      </c>
      <c r="D715" s="15" t="s">
        <v>1456</v>
      </c>
      <c r="E715" s="15" t="s">
        <v>58</v>
      </c>
      <c r="F715" s="25" t="s">
        <v>26</v>
      </c>
      <c r="G715" s="15" t="str">
        <f aca="false">IFERROR(INDEX(Decisions!$K$2:$K$122,MATCH(E715,Decisions!$A$2:$A$122,0)),"")</f>
        <v>drop</v>
      </c>
    </row>
    <row r="716" customFormat="false" ht="15" hidden="false" customHeight="false" outlineLevel="0" collapsed="false">
      <c r="A716" s="15" t="s">
        <v>1462</v>
      </c>
      <c r="B716" s="15" t="s">
        <v>68</v>
      </c>
      <c r="C716" s="15" t="s">
        <v>1455</v>
      </c>
      <c r="D716" s="15" t="s">
        <v>1456</v>
      </c>
      <c r="E716" s="15" t="s">
        <v>22</v>
      </c>
      <c r="F716" s="25" t="s">
        <v>26</v>
      </c>
      <c r="G716" s="15" t="str">
        <f aca="false">IFERROR(INDEX(Decisions!$K$2:$K$122,MATCH(E716,Decisions!$A$2:$A$122,0)),"")</f>
        <v>drop</v>
      </c>
    </row>
    <row r="717" customFormat="false" ht="15" hidden="false" customHeight="false" outlineLevel="0" collapsed="false">
      <c r="A717" s="15" t="s">
        <v>1463</v>
      </c>
      <c r="B717" s="15" t="s">
        <v>68</v>
      </c>
      <c r="C717" s="15" t="s">
        <v>1464</v>
      </c>
      <c r="D717" s="15" t="s">
        <v>1465</v>
      </c>
      <c r="E717" s="15" t="s">
        <v>240</v>
      </c>
      <c r="F717" s="24" t="s">
        <v>173</v>
      </c>
      <c r="G717" s="15" t="n">
        <f aca="false">IFERROR(INDEX(Decisions!$K$2:$K$122,MATCH(E717,Decisions!$A$2:$A$122,0)),"")</f>
        <v>0</v>
      </c>
    </row>
    <row r="718" customFormat="false" ht="15" hidden="false" customHeight="false" outlineLevel="0" collapsed="false">
      <c r="A718" s="15" t="s">
        <v>1466</v>
      </c>
      <c r="B718" s="15" t="s">
        <v>68</v>
      </c>
      <c r="C718" s="15" t="s">
        <v>1464</v>
      </c>
      <c r="D718" s="15" t="s">
        <v>1465</v>
      </c>
      <c r="E718" s="15" t="s">
        <v>245</v>
      </c>
      <c r="F718" s="24" t="s">
        <v>173</v>
      </c>
      <c r="G718" s="15" t="n">
        <f aca="false">IFERROR(INDEX(Decisions!$K$2:$K$122,MATCH(E718,Decisions!$A$2:$A$122,0)),"")</f>
        <v>0</v>
      </c>
    </row>
    <row r="719" customFormat="false" ht="15" hidden="false" customHeight="false" outlineLevel="0" collapsed="false">
      <c r="A719" s="15" t="s">
        <v>1467</v>
      </c>
      <c r="B719" s="15" t="s">
        <v>68</v>
      </c>
      <c r="C719" s="15" t="s">
        <v>1443</v>
      </c>
      <c r="D719" s="15" t="s">
        <v>1468</v>
      </c>
      <c r="E719" s="15" t="s">
        <v>94</v>
      </c>
      <c r="F719" s="23" t="s">
        <v>97</v>
      </c>
      <c r="G719" s="15" t="n">
        <f aca="false">IFERROR(INDEX(Decisions!$K$2:$K$122,MATCH(E719,Decisions!$A$2:$A$122,0)),"")</f>
        <v>0</v>
      </c>
    </row>
    <row r="720" customFormat="false" ht="15" hidden="false" customHeight="false" outlineLevel="0" collapsed="false">
      <c r="A720" s="15" t="s">
        <v>1469</v>
      </c>
      <c r="B720" s="15" t="s">
        <v>68</v>
      </c>
      <c r="C720" s="15" t="s">
        <v>1443</v>
      </c>
      <c r="D720" s="15" t="s">
        <v>1468</v>
      </c>
      <c r="E720" s="15" t="s">
        <v>215</v>
      </c>
      <c r="F720" s="24" t="s">
        <v>173</v>
      </c>
      <c r="G720" s="15" t="n">
        <f aca="false">IFERROR(INDEX(Decisions!$K$2:$K$122,MATCH(E720,Decisions!$A$2:$A$122,0)),"")</f>
        <v>0</v>
      </c>
    </row>
    <row r="721" customFormat="false" ht="15" hidden="false" customHeight="false" outlineLevel="0" collapsed="false">
      <c r="A721" s="15" t="s">
        <v>1470</v>
      </c>
      <c r="B721" s="15" t="s">
        <v>68</v>
      </c>
      <c r="C721" s="15" t="s">
        <v>1443</v>
      </c>
      <c r="D721" s="15" t="s">
        <v>1468</v>
      </c>
      <c r="E721" s="15" t="s">
        <v>183</v>
      </c>
      <c r="F721" s="24" t="s">
        <v>173</v>
      </c>
      <c r="G721" s="15" t="n">
        <f aca="false">IFERROR(INDEX(Decisions!$K$2:$K$122,MATCH(E721,Decisions!$A$2:$A$122,0)),"")</f>
        <v>0</v>
      </c>
    </row>
    <row r="722" customFormat="false" ht="15" hidden="false" customHeight="false" outlineLevel="0" collapsed="false">
      <c r="A722" s="15" t="s">
        <v>1471</v>
      </c>
      <c r="B722" s="15" t="s">
        <v>68</v>
      </c>
      <c r="C722" s="15" t="s">
        <v>1472</v>
      </c>
      <c r="D722" s="15" t="s">
        <v>596</v>
      </c>
      <c r="E722" s="15" t="s">
        <v>222</v>
      </c>
      <c r="F722" s="24" t="s">
        <v>173</v>
      </c>
      <c r="G722" s="15" t="n">
        <f aca="false">IFERROR(INDEX(Decisions!$K$2:$K$122,MATCH(E722,Decisions!$A$2:$A$122,0)),"")</f>
        <v>0</v>
      </c>
    </row>
    <row r="723" customFormat="false" ht="15" hidden="false" customHeight="false" outlineLevel="0" collapsed="false">
      <c r="A723" s="15" t="s">
        <v>1473</v>
      </c>
      <c r="B723" s="15" t="s">
        <v>68</v>
      </c>
      <c r="C723" s="15" t="s">
        <v>1472</v>
      </c>
      <c r="D723" s="15" t="s">
        <v>598</v>
      </c>
      <c r="E723" s="15" t="s">
        <v>110</v>
      </c>
      <c r="F723" s="23" t="s">
        <v>97</v>
      </c>
      <c r="G723" s="15" t="n">
        <f aca="false">IFERROR(INDEX(Decisions!$K$2:$K$122,MATCH(E723,Decisions!$A$2:$A$122,0)),"")</f>
        <v>0</v>
      </c>
    </row>
    <row r="724" customFormat="false" ht="15" hidden="false" customHeight="false" outlineLevel="0" collapsed="false">
      <c r="A724" s="15" t="s">
        <v>1474</v>
      </c>
      <c r="B724" s="15" t="s">
        <v>68</v>
      </c>
      <c r="C724" s="15" t="s">
        <v>1472</v>
      </c>
      <c r="D724" s="15" t="s">
        <v>598</v>
      </c>
      <c r="E724" s="15" t="s">
        <v>198</v>
      </c>
      <c r="F724" s="24" t="s">
        <v>173</v>
      </c>
      <c r="G724" s="15" t="n">
        <f aca="false">IFERROR(INDEX(Decisions!$K$2:$K$122,MATCH(E724,Decisions!$A$2:$A$122,0)),"")</f>
        <v>0</v>
      </c>
    </row>
    <row r="725" customFormat="false" ht="15" hidden="false" customHeight="false" outlineLevel="0" collapsed="false">
      <c r="A725" s="15" t="s">
        <v>1475</v>
      </c>
      <c r="B725" s="15" t="s">
        <v>68</v>
      </c>
      <c r="C725" s="15" t="s">
        <v>1476</v>
      </c>
      <c r="D725" s="15" t="s">
        <v>1477</v>
      </c>
      <c r="E725" s="15" t="s">
        <v>143</v>
      </c>
      <c r="F725" s="23" t="s">
        <v>97</v>
      </c>
      <c r="G725" s="15" t="n">
        <f aca="false">IFERROR(INDEX(Decisions!$K$2:$K$122,MATCH(E725,Decisions!$A$2:$A$122,0)),"")</f>
        <v>0</v>
      </c>
    </row>
    <row r="726" customFormat="false" ht="15" hidden="false" customHeight="false" outlineLevel="0" collapsed="false">
      <c r="A726" s="15" t="s">
        <v>1478</v>
      </c>
      <c r="B726" s="15" t="s">
        <v>68</v>
      </c>
      <c r="C726" s="15" t="s">
        <v>1476</v>
      </c>
      <c r="D726" s="15" t="s">
        <v>1479</v>
      </c>
      <c r="E726" s="15" t="s">
        <v>271</v>
      </c>
      <c r="F726" s="24" t="s">
        <v>173</v>
      </c>
      <c r="G726" s="15" t="n">
        <f aca="false">IFERROR(INDEX(Decisions!$K$2:$K$122,MATCH(E726,Decisions!$A$2:$A$122,0)),"")</f>
        <v>0</v>
      </c>
    </row>
    <row r="727" customFormat="false" ht="15" hidden="false" customHeight="false" outlineLevel="0" collapsed="false">
      <c r="A727" s="15" t="s">
        <v>1480</v>
      </c>
      <c r="B727" s="15" t="s">
        <v>68</v>
      </c>
      <c r="C727" s="15" t="s">
        <v>1476</v>
      </c>
      <c r="D727" s="15" t="s">
        <v>1481</v>
      </c>
      <c r="E727" s="15" t="s">
        <v>146</v>
      </c>
      <c r="F727" s="23" t="s">
        <v>97</v>
      </c>
      <c r="G727" s="15" t="n">
        <f aca="false">IFERROR(INDEX(Decisions!$K$2:$K$122,MATCH(E727,Decisions!$A$2:$A$122,0)),"")</f>
        <v>0</v>
      </c>
    </row>
    <row r="728" customFormat="false" ht="15" hidden="false" customHeight="false" outlineLevel="0" collapsed="false">
      <c r="A728" s="15" t="s">
        <v>1482</v>
      </c>
      <c r="B728" s="15" t="s">
        <v>68</v>
      </c>
      <c r="C728" s="15" t="s">
        <v>1476</v>
      </c>
      <c r="D728" s="15" t="s">
        <v>1483</v>
      </c>
      <c r="E728" s="15" t="s">
        <v>72</v>
      </c>
      <c r="F728" s="25" t="s">
        <v>26</v>
      </c>
      <c r="G728" s="15" t="str">
        <f aca="false">IFERROR(INDEX(Decisions!$K$2:$K$122,MATCH(E728,Decisions!$A$2:$A$122,0)),"")</f>
        <v>keep</v>
      </c>
    </row>
    <row r="729" customFormat="false" ht="15" hidden="false" customHeight="false" outlineLevel="0" collapsed="false">
      <c r="A729" s="15" t="s">
        <v>1484</v>
      </c>
      <c r="B729" s="15" t="s">
        <v>68</v>
      </c>
      <c r="C729" s="15" t="s">
        <v>1476</v>
      </c>
      <c r="D729" s="15" t="s">
        <v>1483</v>
      </c>
      <c r="E729" s="15" t="s">
        <v>137</v>
      </c>
      <c r="F729" s="23" t="s">
        <v>97</v>
      </c>
      <c r="G729" s="15" t="n">
        <f aca="false">IFERROR(INDEX(Decisions!$K$2:$K$122,MATCH(E729,Decisions!$A$2:$A$122,0)),"")</f>
        <v>0</v>
      </c>
    </row>
    <row r="730" customFormat="false" ht="15" hidden="false" customHeight="false" outlineLevel="0" collapsed="false">
      <c r="A730" s="15" t="s">
        <v>1485</v>
      </c>
      <c r="B730" s="15" t="s">
        <v>68</v>
      </c>
      <c r="C730" s="15" t="s">
        <v>1476</v>
      </c>
      <c r="D730" s="15" t="s">
        <v>1483</v>
      </c>
      <c r="E730" s="15" t="s">
        <v>307</v>
      </c>
      <c r="F730" s="24" t="s">
        <v>173</v>
      </c>
      <c r="G730" s="15" t="n">
        <f aca="false">IFERROR(INDEX(Decisions!$K$2:$K$122,MATCH(E730,Decisions!$A$2:$A$122,0)),"")</f>
        <v>0</v>
      </c>
    </row>
    <row r="731" customFormat="false" ht="15" hidden="false" customHeight="false" outlineLevel="0" collapsed="false">
      <c r="A731" s="15" t="s">
        <v>1486</v>
      </c>
      <c r="B731" s="15" t="s">
        <v>68</v>
      </c>
      <c r="C731" s="15" t="s">
        <v>1476</v>
      </c>
      <c r="D731" s="15" t="s">
        <v>1483</v>
      </c>
      <c r="E731" s="15" t="s">
        <v>139</v>
      </c>
      <c r="F731" s="23" t="s">
        <v>97</v>
      </c>
      <c r="G731" s="15" t="n">
        <f aca="false">IFERROR(INDEX(Decisions!$K$2:$K$122,MATCH(E731,Decisions!$A$2:$A$122,0)),"")</f>
        <v>0</v>
      </c>
    </row>
    <row r="732" customFormat="false" ht="15" hidden="false" customHeight="false" outlineLevel="0" collapsed="false">
      <c r="A732" s="15" t="s">
        <v>1487</v>
      </c>
      <c r="B732" s="15" t="s">
        <v>68</v>
      </c>
      <c r="C732" s="15" t="s">
        <v>1476</v>
      </c>
      <c r="D732" s="15" t="s">
        <v>1483</v>
      </c>
      <c r="E732" s="15" t="s">
        <v>151</v>
      </c>
      <c r="F732" s="23" t="s">
        <v>97</v>
      </c>
      <c r="G732" s="15" t="n">
        <f aca="false">IFERROR(INDEX(Decisions!$K$2:$K$122,MATCH(E732,Decisions!$A$2:$A$122,0)),"")</f>
        <v>0</v>
      </c>
    </row>
    <row r="733" customFormat="false" ht="15" hidden="false" customHeight="false" outlineLevel="0" collapsed="false">
      <c r="A733" s="15" t="s">
        <v>1488</v>
      </c>
      <c r="B733" s="15" t="s">
        <v>68</v>
      </c>
      <c r="C733" s="15" t="s">
        <v>1476</v>
      </c>
      <c r="D733" s="15" t="s">
        <v>1483</v>
      </c>
      <c r="E733" s="15" t="s">
        <v>75</v>
      </c>
      <c r="F733" s="25" t="s">
        <v>26</v>
      </c>
      <c r="G733" s="15" t="str">
        <f aca="false">IFERROR(INDEX(Decisions!$K$2:$K$122,MATCH(E733,Decisions!$A$2:$A$122,0)),"")</f>
        <v>drop</v>
      </c>
    </row>
    <row r="734" customFormat="false" ht="15" hidden="false" customHeight="false" outlineLevel="0" collapsed="false">
      <c r="A734" s="15" t="s">
        <v>1489</v>
      </c>
      <c r="B734" s="15" t="s">
        <v>68</v>
      </c>
      <c r="C734" s="15" t="s">
        <v>1490</v>
      </c>
      <c r="D734" s="15" t="s">
        <v>1429</v>
      </c>
      <c r="E734" s="15" t="s">
        <v>66</v>
      </c>
      <c r="F734" s="25" t="s">
        <v>26</v>
      </c>
      <c r="G734" s="15" t="str">
        <f aca="false">IFERROR(INDEX(Decisions!$K$2:$K$122,MATCH(E734,Decisions!$A$2:$A$122,0)),"")</f>
        <v>keep</v>
      </c>
    </row>
    <row r="735" customFormat="false" ht="15" hidden="false" customHeight="false" outlineLevel="0" collapsed="false">
      <c r="A735" s="15" t="s">
        <v>1491</v>
      </c>
      <c r="B735" s="15" t="s">
        <v>68</v>
      </c>
      <c r="C735" s="15" t="s">
        <v>1490</v>
      </c>
      <c r="D735" s="15" t="s">
        <v>1429</v>
      </c>
      <c r="E735" s="15" t="s">
        <v>128</v>
      </c>
      <c r="F735" s="23" t="s">
        <v>97</v>
      </c>
      <c r="G735" s="15" t="n">
        <f aca="false">IFERROR(INDEX(Decisions!$K$2:$K$122,MATCH(E735,Decisions!$A$2:$A$122,0)),"")</f>
        <v>0</v>
      </c>
    </row>
    <row r="736" customFormat="false" ht="15" hidden="false" customHeight="false" outlineLevel="0" collapsed="false">
      <c r="A736" s="15" t="s">
        <v>1492</v>
      </c>
      <c r="B736" s="15" t="s">
        <v>68</v>
      </c>
      <c r="C736" s="15" t="s">
        <v>1493</v>
      </c>
      <c r="D736" s="15" t="s">
        <v>1494</v>
      </c>
      <c r="E736" s="15" t="s">
        <v>177</v>
      </c>
      <c r="F736" s="24" t="s">
        <v>173</v>
      </c>
      <c r="G736" s="15" t="n">
        <f aca="false">IFERROR(INDEX(Decisions!$K$2:$K$122,MATCH(E736,Decisions!$A$2:$A$122,0)),"")</f>
        <v>0</v>
      </c>
    </row>
    <row r="737" customFormat="false" ht="15" hidden="false" customHeight="false" outlineLevel="0" collapsed="false">
      <c r="A737" s="15" t="s">
        <v>1495</v>
      </c>
      <c r="B737" s="15" t="s">
        <v>68</v>
      </c>
      <c r="C737" s="15" t="s">
        <v>1493</v>
      </c>
      <c r="D737" s="15" t="s">
        <v>1496</v>
      </c>
      <c r="E737" s="15" t="s">
        <v>187</v>
      </c>
      <c r="F737" s="24" t="s">
        <v>173</v>
      </c>
      <c r="G737" s="15" t="n">
        <f aca="false">IFERROR(INDEX(Decisions!$K$2:$K$122,MATCH(E737,Decisions!$A$2:$A$122,0)),"")</f>
        <v>0</v>
      </c>
    </row>
    <row r="738" customFormat="false" ht="15" hidden="false" customHeight="false" outlineLevel="0" collapsed="false">
      <c r="A738" s="15" t="s">
        <v>1497</v>
      </c>
      <c r="B738" s="15" t="s">
        <v>68</v>
      </c>
      <c r="C738" s="15" t="s">
        <v>1493</v>
      </c>
      <c r="D738" s="15" t="s">
        <v>1496</v>
      </c>
      <c r="E738" s="15" t="s">
        <v>170</v>
      </c>
      <c r="F738" s="24" t="s">
        <v>173</v>
      </c>
      <c r="G738" s="15" t="n">
        <f aca="false">IFERROR(INDEX(Decisions!$K$2:$K$122,MATCH(E738,Decisions!$A$2:$A$122,0)),"")</f>
        <v>0</v>
      </c>
    </row>
    <row r="739" customFormat="false" ht="15" hidden="false" customHeight="false" outlineLevel="0" collapsed="false">
      <c r="A739" s="15" t="s">
        <v>1498</v>
      </c>
      <c r="B739" s="15" t="s">
        <v>68</v>
      </c>
      <c r="C739" s="15" t="s">
        <v>1490</v>
      </c>
      <c r="D739" s="15" t="s">
        <v>1499</v>
      </c>
      <c r="E739" s="15" t="s">
        <v>113</v>
      </c>
      <c r="F739" s="23" t="s">
        <v>97</v>
      </c>
      <c r="G739" s="15" t="n">
        <f aca="false">IFERROR(INDEX(Decisions!$K$2:$K$122,MATCH(E739,Decisions!$A$2:$A$122,0)),"")</f>
        <v>0</v>
      </c>
    </row>
    <row r="740" customFormat="false" ht="15" hidden="false" customHeight="false" outlineLevel="0" collapsed="false">
      <c r="A740" s="15" t="s">
        <v>1500</v>
      </c>
      <c r="B740" s="15" t="s">
        <v>68</v>
      </c>
      <c r="C740" s="15" t="s">
        <v>1490</v>
      </c>
      <c r="D740" s="15" t="s">
        <v>1499</v>
      </c>
      <c r="E740" s="15" t="s">
        <v>116</v>
      </c>
      <c r="F740" s="23" t="s">
        <v>97</v>
      </c>
      <c r="G740" s="15" t="n">
        <f aca="false">IFERROR(INDEX(Decisions!$K$2:$K$122,MATCH(E740,Decisions!$A$2:$A$122,0)),"")</f>
        <v>0</v>
      </c>
    </row>
    <row r="741" customFormat="false" ht="15" hidden="false" customHeight="false" outlineLevel="0" collapsed="false">
      <c r="A741" s="15" t="s">
        <v>1501</v>
      </c>
      <c r="B741" s="15" t="s">
        <v>68</v>
      </c>
      <c r="C741" s="15" t="s">
        <v>1490</v>
      </c>
      <c r="D741" s="15" t="s">
        <v>1499</v>
      </c>
      <c r="E741" s="15" t="s">
        <v>225</v>
      </c>
      <c r="F741" s="24" t="s">
        <v>173</v>
      </c>
      <c r="G741" s="15" t="n">
        <f aca="false">IFERROR(INDEX(Decisions!$K$2:$K$122,MATCH(E741,Decisions!$A$2:$A$122,0)),"")</f>
        <v>0</v>
      </c>
    </row>
    <row r="742" customFormat="false" ht="15" hidden="false" customHeight="false" outlineLevel="0" collapsed="false">
      <c r="A742" s="15" t="s">
        <v>1502</v>
      </c>
      <c r="B742" s="15" t="s">
        <v>68</v>
      </c>
      <c r="C742" s="15" t="s">
        <v>1490</v>
      </c>
      <c r="D742" s="15" t="s">
        <v>1499</v>
      </c>
      <c r="E742" s="15" t="s">
        <v>231</v>
      </c>
      <c r="F742" s="24" t="s">
        <v>173</v>
      </c>
      <c r="G742" s="15" t="n">
        <f aca="false">IFERROR(INDEX(Decisions!$K$2:$K$122,MATCH(E742,Decisions!$A$2:$A$122,0)),"")</f>
        <v>0</v>
      </c>
    </row>
    <row r="743" customFormat="false" ht="15" hidden="false" customHeight="false" outlineLevel="0" collapsed="false">
      <c r="A743" s="15" t="s">
        <v>1503</v>
      </c>
      <c r="B743" s="15" t="s">
        <v>68</v>
      </c>
      <c r="C743" s="15" t="s">
        <v>1490</v>
      </c>
      <c r="D743" s="15" t="s">
        <v>1499</v>
      </c>
      <c r="E743" s="15" t="s">
        <v>218</v>
      </c>
      <c r="F743" s="24" t="s">
        <v>173</v>
      </c>
      <c r="G743" s="15" t="n">
        <f aca="false">IFERROR(INDEX(Decisions!$K$2:$K$122,MATCH(E743,Decisions!$A$2:$A$122,0)),"")</f>
        <v>0</v>
      </c>
    </row>
    <row r="744" customFormat="false" ht="15" hidden="false" customHeight="false" outlineLevel="0" collapsed="false">
      <c r="A744" s="15" t="s">
        <v>1504</v>
      </c>
      <c r="B744" s="15" t="s">
        <v>68</v>
      </c>
      <c r="C744" s="15" t="s">
        <v>1490</v>
      </c>
      <c r="D744" s="15" t="s">
        <v>1499</v>
      </c>
      <c r="E744" s="15" t="s">
        <v>118</v>
      </c>
      <c r="F744" s="23" t="s">
        <v>97</v>
      </c>
      <c r="G744" s="15" t="n">
        <f aca="false">IFERROR(INDEX(Decisions!$K$2:$K$122,MATCH(E744,Decisions!$A$2:$A$122,0)),"")</f>
        <v>0</v>
      </c>
    </row>
    <row r="745" customFormat="false" ht="15" hidden="false" customHeight="false" outlineLevel="0" collapsed="false">
      <c r="A745" s="15" t="s">
        <v>1505</v>
      </c>
      <c r="B745" s="15" t="s">
        <v>68</v>
      </c>
      <c r="C745" s="15" t="s">
        <v>1506</v>
      </c>
      <c r="D745" s="15" t="s">
        <v>1507</v>
      </c>
      <c r="E745" s="15" t="s">
        <v>287</v>
      </c>
      <c r="F745" s="24" t="s">
        <v>173</v>
      </c>
      <c r="G745" s="15" t="n">
        <f aca="false">IFERROR(INDEX(Decisions!$K$2:$K$122,MATCH(E745,Decisions!$A$2:$A$122,0)),"")</f>
        <v>0</v>
      </c>
    </row>
    <row r="746" customFormat="false" ht="15" hidden="false" customHeight="false" outlineLevel="0" collapsed="false">
      <c r="A746" s="15" t="s">
        <v>1508</v>
      </c>
      <c r="B746" s="15" t="s">
        <v>68</v>
      </c>
      <c r="C746" s="15" t="s">
        <v>1506</v>
      </c>
      <c r="D746" s="15" t="s">
        <v>1509</v>
      </c>
      <c r="E746" s="15" t="s">
        <v>353</v>
      </c>
      <c r="F746" s="24" t="s">
        <v>173</v>
      </c>
      <c r="G746" s="15" t="n">
        <f aca="false">IFERROR(INDEX(Decisions!$K$2:$K$122,MATCH(E746,Decisions!$A$2:$A$122,0)),"")</f>
        <v>0</v>
      </c>
    </row>
    <row r="747" customFormat="false" ht="15" hidden="false" customHeight="false" outlineLevel="0" collapsed="false">
      <c r="A747" s="15" t="s">
        <v>1510</v>
      </c>
      <c r="B747" s="15" t="s">
        <v>68</v>
      </c>
      <c r="C747" s="15" t="s">
        <v>1511</v>
      </c>
      <c r="D747" s="15" t="s">
        <v>1512</v>
      </c>
      <c r="E747" s="15" t="s">
        <v>66</v>
      </c>
      <c r="F747" s="25" t="s">
        <v>26</v>
      </c>
      <c r="G747" s="15" t="str">
        <f aca="false">IFERROR(INDEX(Decisions!$K$2:$K$122,MATCH(E747,Decisions!$A$2:$A$122,0)),"")</f>
        <v>keep</v>
      </c>
    </row>
    <row r="748" customFormat="false" ht="15" hidden="false" customHeight="false" outlineLevel="0" collapsed="false">
      <c r="A748" s="15" t="s">
        <v>1513</v>
      </c>
      <c r="B748" s="15" t="s">
        <v>68</v>
      </c>
      <c r="C748" s="15" t="s">
        <v>1511</v>
      </c>
      <c r="D748" s="15" t="s">
        <v>1512</v>
      </c>
      <c r="E748" s="15" t="s">
        <v>128</v>
      </c>
      <c r="F748" s="23" t="s">
        <v>97</v>
      </c>
      <c r="G748" s="15" t="n">
        <f aca="false">IFERROR(INDEX(Decisions!$K$2:$K$122,MATCH(E748,Decisions!$A$2:$A$122,0)),"")</f>
        <v>0</v>
      </c>
    </row>
    <row r="749" customFormat="false" ht="15" hidden="false" customHeight="false" outlineLevel="0" collapsed="false">
      <c r="A749" s="15" t="s">
        <v>1514</v>
      </c>
      <c r="B749" s="15" t="s">
        <v>68</v>
      </c>
      <c r="C749" s="15" t="s">
        <v>1511</v>
      </c>
      <c r="D749" s="15" t="s">
        <v>1512</v>
      </c>
      <c r="E749" s="15" t="s">
        <v>135</v>
      </c>
      <c r="F749" s="23" t="s">
        <v>97</v>
      </c>
      <c r="G749" s="15" t="n">
        <f aca="false">IFERROR(INDEX(Decisions!$K$2:$K$122,MATCH(E749,Decisions!$A$2:$A$122,0)),"")</f>
        <v>0</v>
      </c>
    </row>
    <row r="750" customFormat="false" ht="15" hidden="false" customHeight="false" outlineLevel="0" collapsed="false">
      <c r="A750" s="15" t="s">
        <v>1515</v>
      </c>
      <c r="B750" s="15" t="s">
        <v>68</v>
      </c>
      <c r="C750" s="15" t="s">
        <v>1516</v>
      </c>
      <c r="D750" s="15" t="s">
        <v>1062</v>
      </c>
      <c r="E750" s="15" t="s">
        <v>120</v>
      </c>
      <c r="F750" s="23" t="s">
        <v>97</v>
      </c>
      <c r="G750" s="15" t="n">
        <f aca="false">IFERROR(INDEX(Decisions!$K$2:$K$122,MATCH(E750,Decisions!$A$2:$A$122,0)),"")</f>
        <v>0</v>
      </c>
    </row>
    <row r="751" customFormat="false" ht="15" hidden="false" customHeight="false" outlineLevel="0" collapsed="false">
      <c r="A751" s="15" t="s">
        <v>1517</v>
      </c>
      <c r="B751" s="15" t="s">
        <v>68</v>
      </c>
      <c r="C751" s="15" t="s">
        <v>1516</v>
      </c>
      <c r="D751" s="15" t="s">
        <v>1062</v>
      </c>
      <c r="E751" s="15" t="s">
        <v>122</v>
      </c>
      <c r="F751" s="23" t="s">
        <v>97</v>
      </c>
      <c r="G751" s="15" t="n">
        <f aca="false">IFERROR(INDEX(Decisions!$K$2:$K$122,MATCH(E751,Decisions!$A$2:$A$122,0)),"")</f>
        <v>0</v>
      </c>
    </row>
    <row r="752" customFormat="false" ht="15" hidden="false" customHeight="false" outlineLevel="0" collapsed="false">
      <c r="A752" s="15" t="s">
        <v>1518</v>
      </c>
      <c r="B752" s="15" t="s">
        <v>68</v>
      </c>
      <c r="C752" s="15" t="s">
        <v>1516</v>
      </c>
      <c r="D752" s="15" t="s">
        <v>1062</v>
      </c>
      <c r="E752" s="15" t="s">
        <v>63</v>
      </c>
      <c r="F752" s="25" t="s">
        <v>26</v>
      </c>
      <c r="G752" s="15" t="str">
        <f aca="false">IFERROR(INDEX(Decisions!$K$2:$K$122,MATCH(E752,Decisions!$A$2:$A$122,0)),"")</f>
        <v>drop</v>
      </c>
    </row>
    <row r="753" customFormat="false" ht="15" hidden="false" customHeight="false" outlineLevel="0" collapsed="false">
      <c r="A753" s="15" t="s">
        <v>1519</v>
      </c>
      <c r="B753" s="15" t="s">
        <v>68</v>
      </c>
      <c r="C753" s="15" t="s">
        <v>1516</v>
      </c>
      <c r="D753" s="15" t="s">
        <v>1062</v>
      </c>
      <c r="E753" s="15" t="s">
        <v>124</v>
      </c>
      <c r="F753" s="23" t="s">
        <v>97</v>
      </c>
      <c r="G753" s="15" t="n">
        <f aca="false">IFERROR(INDEX(Decisions!$K$2:$K$122,MATCH(E753,Decisions!$A$2:$A$122,0)),"")</f>
        <v>0</v>
      </c>
    </row>
    <row r="754" customFormat="false" ht="15" hidden="false" customHeight="false" outlineLevel="0" collapsed="false">
      <c r="A754" s="15" t="s">
        <v>1520</v>
      </c>
      <c r="B754" s="15" t="s">
        <v>68</v>
      </c>
      <c r="C754" s="15" t="s">
        <v>1516</v>
      </c>
      <c r="D754" s="15" t="s">
        <v>1062</v>
      </c>
      <c r="E754" s="15" t="s">
        <v>247</v>
      </c>
      <c r="F754" s="24" t="s">
        <v>173</v>
      </c>
      <c r="G754" s="15" t="n">
        <f aca="false">IFERROR(INDEX(Decisions!$K$2:$K$122,MATCH(E754,Decisions!$A$2:$A$122,0)),"")</f>
        <v>0</v>
      </c>
    </row>
    <row r="755" customFormat="false" ht="15" hidden="false" customHeight="false" outlineLevel="0" collapsed="false">
      <c r="A755" s="15" t="s">
        <v>1521</v>
      </c>
      <c r="B755" s="15" t="s">
        <v>68</v>
      </c>
      <c r="C755" s="15" t="s">
        <v>1516</v>
      </c>
      <c r="D755" s="15" t="s">
        <v>1062</v>
      </c>
      <c r="E755" s="15" t="s">
        <v>251</v>
      </c>
      <c r="F755" s="24" t="s">
        <v>173</v>
      </c>
      <c r="G755" s="15" t="n">
        <f aca="false">IFERROR(INDEX(Decisions!$K$2:$K$122,MATCH(E755,Decisions!$A$2:$A$122,0)),"")</f>
        <v>0</v>
      </c>
    </row>
    <row r="756" customFormat="false" ht="15" hidden="false" customHeight="false" outlineLevel="0" collapsed="false">
      <c r="A756" s="15" t="s">
        <v>1522</v>
      </c>
      <c r="B756" s="15" t="s">
        <v>68</v>
      </c>
      <c r="C756" s="15" t="s">
        <v>1516</v>
      </c>
      <c r="D756" s="15" t="s">
        <v>1062</v>
      </c>
      <c r="E756" s="15" t="s">
        <v>126</v>
      </c>
      <c r="F756" s="23" t="s">
        <v>97</v>
      </c>
      <c r="G756" s="15" t="n">
        <f aca="false">IFERROR(INDEX(Decisions!$K$2:$K$122,MATCH(E756,Decisions!$A$2:$A$122,0)),"")</f>
        <v>0</v>
      </c>
    </row>
    <row r="757" customFormat="false" ht="15" hidden="false" customHeight="false" outlineLevel="0" collapsed="false">
      <c r="A757" s="15" t="s">
        <v>1523</v>
      </c>
      <c r="B757" s="15" t="s">
        <v>68</v>
      </c>
      <c r="C757" s="15" t="s">
        <v>1524</v>
      </c>
      <c r="D757" s="15" t="s">
        <v>1525</v>
      </c>
      <c r="E757" s="15" t="s">
        <v>177</v>
      </c>
      <c r="F757" s="24" t="s">
        <v>173</v>
      </c>
      <c r="G757" s="15" t="n">
        <f aca="false">IFERROR(INDEX(Decisions!$K$2:$K$122,MATCH(E757,Decisions!$A$2:$A$122,0)),"")</f>
        <v>0</v>
      </c>
    </row>
    <row r="758" customFormat="false" ht="15" hidden="false" customHeight="false" outlineLevel="0" collapsed="false">
      <c r="A758" s="15" t="s">
        <v>1526</v>
      </c>
      <c r="B758" s="15" t="s">
        <v>68</v>
      </c>
      <c r="C758" s="15" t="s">
        <v>1524</v>
      </c>
      <c r="D758" s="15" t="s">
        <v>1527</v>
      </c>
      <c r="E758" s="15" t="s">
        <v>177</v>
      </c>
      <c r="F758" s="24" t="s">
        <v>173</v>
      </c>
      <c r="G758" s="15" t="n">
        <f aca="false">IFERROR(INDEX(Decisions!$K$2:$K$122,MATCH(E758,Decisions!$A$2:$A$122,0)),"")</f>
        <v>0</v>
      </c>
    </row>
    <row r="759" customFormat="false" ht="15" hidden="false" customHeight="false" outlineLevel="0" collapsed="false">
      <c r="A759" s="15" t="s">
        <v>1528</v>
      </c>
      <c r="B759" s="15" t="s">
        <v>68</v>
      </c>
      <c r="C759" s="15" t="s">
        <v>1524</v>
      </c>
      <c r="D759" s="15" t="s">
        <v>1529</v>
      </c>
      <c r="E759" s="15" t="s">
        <v>170</v>
      </c>
      <c r="F759" s="24" t="s">
        <v>173</v>
      </c>
      <c r="G759" s="15" t="n">
        <f aca="false">IFERROR(INDEX(Decisions!$K$2:$K$122,MATCH(E759,Decisions!$A$2:$A$122,0)),"")</f>
        <v>0</v>
      </c>
    </row>
    <row r="760" customFormat="false" ht="15" hidden="false" customHeight="false" outlineLevel="0" collapsed="false">
      <c r="A760" s="15" t="s">
        <v>1530</v>
      </c>
      <c r="B760" s="15" t="s">
        <v>68</v>
      </c>
      <c r="C760" s="15" t="s">
        <v>1531</v>
      </c>
      <c r="D760" s="15" t="s">
        <v>1532</v>
      </c>
      <c r="E760" s="15" t="s">
        <v>284</v>
      </c>
      <c r="F760" s="24" t="s">
        <v>173</v>
      </c>
      <c r="G760" s="15" t="n">
        <f aca="false">IFERROR(INDEX(Decisions!$K$2:$K$122,MATCH(E760,Decisions!$A$2:$A$122,0)),"")</f>
        <v>0</v>
      </c>
    </row>
    <row r="761" customFormat="false" ht="15" hidden="false" customHeight="false" outlineLevel="0" collapsed="false">
      <c r="A761" s="15" t="s">
        <v>1533</v>
      </c>
      <c r="B761" s="15" t="s">
        <v>68</v>
      </c>
      <c r="C761" s="15" t="s">
        <v>1531</v>
      </c>
      <c r="D761" s="15" t="s">
        <v>1532</v>
      </c>
      <c r="E761" s="15" t="s">
        <v>101</v>
      </c>
      <c r="F761" s="23" t="s">
        <v>97</v>
      </c>
      <c r="G761" s="15" t="n">
        <f aca="false">IFERROR(INDEX(Decisions!$K$2:$K$122,MATCH(E761,Decisions!$A$2:$A$122,0)),"")</f>
        <v>0</v>
      </c>
    </row>
    <row r="762" customFormat="false" ht="15" hidden="false" customHeight="false" outlineLevel="0" collapsed="false">
      <c r="A762" s="15" t="s">
        <v>1534</v>
      </c>
      <c r="B762" s="15" t="s">
        <v>68</v>
      </c>
      <c r="C762" s="15" t="s">
        <v>1531</v>
      </c>
      <c r="D762" s="15" t="s">
        <v>1532</v>
      </c>
      <c r="E762" s="15" t="s">
        <v>104</v>
      </c>
      <c r="F762" s="23" t="s">
        <v>97</v>
      </c>
      <c r="G762" s="15" t="n">
        <f aca="false">IFERROR(INDEX(Decisions!$K$2:$K$122,MATCH(E762,Decisions!$A$2:$A$122,0)),"")</f>
        <v>0</v>
      </c>
    </row>
    <row r="763" customFormat="false" ht="15" hidden="false" customHeight="false" outlineLevel="0" collapsed="false">
      <c r="A763" s="15" t="s">
        <v>1535</v>
      </c>
      <c r="B763" s="15" t="s">
        <v>68</v>
      </c>
      <c r="C763" s="15" t="s">
        <v>1531</v>
      </c>
      <c r="D763" s="15" t="s">
        <v>1532</v>
      </c>
      <c r="E763" s="15" t="s">
        <v>201</v>
      </c>
      <c r="F763" s="24" t="s">
        <v>173</v>
      </c>
      <c r="G763" s="15" t="n">
        <f aca="false">IFERROR(INDEX(Decisions!$K$2:$K$122,MATCH(E763,Decisions!$A$2:$A$122,0)),"")</f>
        <v>0</v>
      </c>
    </row>
    <row r="764" customFormat="false" ht="15" hidden="false" customHeight="false" outlineLevel="0" collapsed="false">
      <c r="A764" s="15" t="s">
        <v>1536</v>
      </c>
      <c r="B764" s="15" t="s">
        <v>68</v>
      </c>
      <c r="C764" s="15" t="s">
        <v>1531</v>
      </c>
      <c r="D764" s="15" t="s">
        <v>1532</v>
      </c>
      <c r="E764" s="15" t="s">
        <v>206</v>
      </c>
      <c r="F764" s="24" t="s">
        <v>173</v>
      </c>
      <c r="G764" s="15" t="n">
        <f aca="false">IFERROR(INDEX(Decisions!$K$2:$K$122,MATCH(E764,Decisions!$A$2:$A$122,0)),"")</f>
        <v>0</v>
      </c>
    </row>
    <row r="765" customFormat="false" ht="15" hidden="false" customHeight="false" outlineLevel="0" collapsed="false">
      <c r="A765" s="15" t="s">
        <v>1537</v>
      </c>
      <c r="B765" s="15" t="s">
        <v>68</v>
      </c>
      <c r="C765" s="15" t="s">
        <v>1511</v>
      </c>
      <c r="D765" s="15" t="s">
        <v>1538</v>
      </c>
      <c r="E765" s="15" t="s">
        <v>113</v>
      </c>
      <c r="F765" s="23" t="s">
        <v>97</v>
      </c>
      <c r="G765" s="15" t="n">
        <f aca="false">IFERROR(INDEX(Decisions!$K$2:$K$122,MATCH(E765,Decisions!$A$2:$A$122,0)),"")</f>
        <v>0</v>
      </c>
    </row>
    <row r="766" customFormat="false" ht="15" hidden="false" customHeight="false" outlineLevel="0" collapsed="false">
      <c r="A766" s="15" t="s">
        <v>1539</v>
      </c>
      <c r="B766" s="15" t="s">
        <v>68</v>
      </c>
      <c r="C766" s="15" t="s">
        <v>1511</v>
      </c>
      <c r="D766" s="15" t="s">
        <v>1538</v>
      </c>
      <c r="E766" s="15" t="s">
        <v>116</v>
      </c>
      <c r="F766" s="23" t="s">
        <v>97</v>
      </c>
      <c r="G766" s="15" t="n">
        <f aca="false">IFERROR(INDEX(Decisions!$K$2:$K$122,MATCH(E766,Decisions!$A$2:$A$122,0)),"")</f>
        <v>0</v>
      </c>
    </row>
    <row r="767" customFormat="false" ht="15" hidden="false" customHeight="false" outlineLevel="0" collapsed="false">
      <c r="A767" s="15" t="s">
        <v>1540</v>
      </c>
      <c r="B767" s="15" t="s">
        <v>68</v>
      </c>
      <c r="C767" s="15" t="s">
        <v>1511</v>
      </c>
      <c r="D767" s="15" t="s">
        <v>1538</v>
      </c>
      <c r="E767" s="15" t="s">
        <v>231</v>
      </c>
      <c r="F767" s="24" t="s">
        <v>173</v>
      </c>
      <c r="G767" s="15" t="n">
        <f aca="false">IFERROR(INDEX(Decisions!$K$2:$K$122,MATCH(E767,Decisions!$A$2:$A$122,0)),"")</f>
        <v>0</v>
      </c>
    </row>
    <row r="768" customFormat="false" ht="15" hidden="false" customHeight="false" outlineLevel="0" collapsed="false">
      <c r="A768" s="15" t="s">
        <v>1541</v>
      </c>
      <c r="B768" s="15" t="s">
        <v>68</v>
      </c>
      <c r="C768" s="15" t="s">
        <v>1511</v>
      </c>
      <c r="D768" s="15" t="s">
        <v>1538</v>
      </c>
      <c r="E768" s="15" t="s">
        <v>218</v>
      </c>
      <c r="F768" s="24" t="s">
        <v>173</v>
      </c>
      <c r="G768" s="15" t="n">
        <f aca="false">IFERROR(INDEX(Decisions!$K$2:$K$122,MATCH(E768,Decisions!$A$2:$A$122,0)),"")</f>
        <v>0</v>
      </c>
    </row>
    <row r="769" customFormat="false" ht="15" hidden="false" customHeight="false" outlineLevel="0" collapsed="false">
      <c r="A769" s="15" t="s">
        <v>1542</v>
      </c>
      <c r="B769" s="15" t="s">
        <v>68</v>
      </c>
      <c r="C769" s="15" t="s">
        <v>1511</v>
      </c>
      <c r="D769" s="15" t="s">
        <v>1538</v>
      </c>
      <c r="E769" s="15" t="s">
        <v>118</v>
      </c>
      <c r="F769" s="23" t="s">
        <v>97</v>
      </c>
      <c r="G769" s="15" t="n">
        <f aca="false">IFERROR(INDEX(Decisions!$K$2:$K$122,MATCH(E769,Decisions!$A$2:$A$122,0)),"")</f>
        <v>0</v>
      </c>
    </row>
    <row r="770" customFormat="false" ht="15" hidden="false" customHeight="false" outlineLevel="0" collapsed="false">
      <c r="A770" s="15" t="s">
        <v>1543</v>
      </c>
      <c r="B770" s="15" t="s">
        <v>68</v>
      </c>
      <c r="C770" s="15" t="s">
        <v>1544</v>
      </c>
      <c r="D770" s="15" t="s">
        <v>1122</v>
      </c>
      <c r="E770" s="15" t="s">
        <v>94</v>
      </c>
      <c r="F770" s="23" t="s">
        <v>97</v>
      </c>
      <c r="G770" s="15" t="n">
        <f aca="false">IFERROR(INDEX(Decisions!$K$2:$K$122,MATCH(E770,Decisions!$A$2:$A$122,0)),"")</f>
        <v>0</v>
      </c>
    </row>
    <row r="771" customFormat="false" ht="15" hidden="false" customHeight="false" outlineLevel="0" collapsed="false">
      <c r="A771" s="15" t="s">
        <v>1545</v>
      </c>
      <c r="B771" s="15" t="s">
        <v>68</v>
      </c>
      <c r="C771" s="15" t="s">
        <v>1544</v>
      </c>
      <c r="D771" s="15" t="s">
        <v>1122</v>
      </c>
      <c r="E771" s="15" t="s">
        <v>183</v>
      </c>
      <c r="F771" s="24" t="s">
        <v>173</v>
      </c>
      <c r="G771" s="15" t="n">
        <f aca="false">IFERROR(INDEX(Decisions!$K$2:$K$122,MATCH(E771,Decisions!$A$2:$A$122,0)),"")</f>
        <v>0</v>
      </c>
    </row>
    <row r="772" customFormat="false" ht="15" hidden="false" customHeight="false" outlineLevel="0" collapsed="false">
      <c r="A772" s="15" t="s">
        <v>1546</v>
      </c>
      <c r="B772" s="15" t="s">
        <v>68</v>
      </c>
      <c r="C772" s="15" t="s">
        <v>1544</v>
      </c>
      <c r="D772" s="15" t="s">
        <v>1547</v>
      </c>
      <c r="E772" s="15" t="s">
        <v>94</v>
      </c>
      <c r="F772" s="23" t="s">
        <v>97</v>
      </c>
      <c r="G772" s="15" t="n">
        <f aca="false">IFERROR(INDEX(Decisions!$K$2:$K$122,MATCH(E772,Decisions!$A$2:$A$122,0)),"")</f>
        <v>0</v>
      </c>
    </row>
    <row r="773" customFormat="false" ht="15" hidden="false" customHeight="false" outlineLevel="0" collapsed="false">
      <c r="A773" s="15" t="s">
        <v>1548</v>
      </c>
      <c r="B773" s="15" t="s">
        <v>68</v>
      </c>
      <c r="C773" s="15" t="s">
        <v>1544</v>
      </c>
      <c r="D773" s="15" t="s">
        <v>1547</v>
      </c>
      <c r="E773" s="15" t="s">
        <v>183</v>
      </c>
      <c r="F773" s="24" t="s">
        <v>173</v>
      </c>
      <c r="G773" s="15" t="n">
        <f aca="false">IFERROR(INDEX(Decisions!$K$2:$K$122,MATCH(E773,Decisions!$A$2:$A$122,0)),"")</f>
        <v>0</v>
      </c>
    </row>
    <row r="774" customFormat="false" ht="15" hidden="false" customHeight="false" outlineLevel="0" collapsed="false">
      <c r="A774" s="15" t="s">
        <v>1549</v>
      </c>
      <c r="B774" s="15" t="s">
        <v>68</v>
      </c>
      <c r="C774" s="15" t="s">
        <v>1544</v>
      </c>
      <c r="D774" s="15" t="s">
        <v>1134</v>
      </c>
      <c r="E774" s="15" t="s">
        <v>94</v>
      </c>
      <c r="F774" s="23" t="s">
        <v>97</v>
      </c>
      <c r="G774" s="15" t="n">
        <f aca="false">IFERROR(INDEX(Decisions!$K$2:$K$122,MATCH(E774,Decisions!$A$2:$A$122,0)),"")</f>
        <v>0</v>
      </c>
    </row>
    <row r="775" customFormat="false" ht="15" hidden="false" customHeight="false" outlineLevel="0" collapsed="false">
      <c r="A775" s="15" t="s">
        <v>1550</v>
      </c>
      <c r="B775" s="15" t="s">
        <v>68</v>
      </c>
      <c r="C775" s="15" t="s">
        <v>1544</v>
      </c>
      <c r="D775" s="15" t="s">
        <v>1134</v>
      </c>
      <c r="E775" s="15" t="s">
        <v>183</v>
      </c>
      <c r="F775" s="24" t="s">
        <v>173</v>
      </c>
      <c r="G775" s="15" t="n">
        <f aca="false">IFERROR(INDEX(Decisions!$K$2:$K$122,MATCH(E775,Decisions!$A$2:$A$122,0)),"")</f>
        <v>0</v>
      </c>
    </row>
    <row r="776" customFormat="false" ht="15" hidden="false" customHeight="false" outlineLevel="0" collapsed="false">
      <c r="A776" s="15" t="s">
        <v>1551</v>
      </c>
      <c r="B776" s="15" t="s">
        <v>68</v>
      </c>
      <c r="C776" s="15" t="s">
        <v>1552</v>
      </c>
      <c r="D776" s="15" t="s">
        <v>598</v>
      </c>
      <c r="E776" s="15" t="s">
        <v>110</v>
      </c>
      <c r="F776" s="23" t="s">
        <v>97</v>
      </c>
      <c r="G776" s="15" t="n">
        <f aca="false">IFERROR(INDEX(Decisions!$K$2:$K$122,MATCH(E776,Decisions!$A$2:$A$122,0)),"")</f>
        <v>0</v>
      </c>
    </row>
    <row r="777" customFormat="false" ht="15" hidden="false" customHeight="false" outlineLevel="0" collapsed="false">
      <c r="A777" s="15" t="s">
        <v>1553</v>
      </c>
      <c r="B777" s="15" t="s">
        <v>68</v>
      </c>
      <c r="C777" s="15" t="s">
        <v>1552</v>
      </c>
      <c r="D777" s="15" t="s">
        <v>598</v>
      </c>
      <c r="E777" s="15" t="s">
        <v>198</v>
      </c>
      <c r="F777" s="24" t="s">
        <v>173</v>
      </c>
      <c r="G777" s="15" t="n">
        <f aca="false">IFERROR(INDEX(Decisions!$K$2:$K$122,MATCH(E777,Decisions!$A$2:$A$122,0)),"")</f>
        <v>0</v>
      </c>
    </row>
    <row r="778" customFormat="false" ht="15" hidden="false" customHeight="false" outlineLevel="0" collapsed="false">
      <c r="A778" s="15" t="s">
        <v>1554</v>
      </c>
      <c r="B778" s="15" t="s">
        <v>68</v>
      </c>
      <c r="C778" s="15" t="s">
        <v>1555</v>
      </c>
      <c r="D778" s="15" t="s">
        <v>1414</v>
      </c>
      <c r="E778" s="15" t="s">
        <v>101</v>
      </c>
      <c r="F778" s="23" t="s">
        <v>97</v>
      </c>
      <c r="G778" s="15" t="n">
        <f aca="false">IFERROR(INDEX(Decisions!$K$2:$K$122,MATCH(E778,Decisions!$A$2:$A$122,0)),"")</f>
        <v>0</v>
      </c>
    </row>
    <row r="779" customFormat="false" ht="15" hidden="false" customHeight="false" outlineLevel="0" collapsed="false">
      <c r="A779" s="15" t="s">
        <v>1556</v>
      </c>
      <c r="B779" s="15" t="s">
        <v>68</v>
      </c>
      <c r="C779" s="15" t="s">
        <v>1555</v>
      </c>
      <c r="D779" s="15" t="s">
        <v>1414</v>
      </c>
      <c r="E779" s="15" t="s">
        <v>104</v>
      </c>
      <c r="F779" s="23" t="s">
        <v>97</v>
      </c>
      <c r="G779" s="15" t="n">
        <f aca="false">IFERROR(INDEX(Decisions!$K$2:$K$122,MATCH(E779,Decisions!$A$2:$A$122,0)),"")</f>
        <v>0</v>
      </c>
    </row>
    <row r="780" customFormat="false" ht="15" hidden="false" customHeight="false" outlineLevel="0" collapsed="false">
      <c r="A780" s="15" t="s">
        <v>1557</v>
      </c>
      <c r="B780" s="15" t="s">
        <v>68</v>
      </c>
      <c r="C780" s="15" t="s">
        <v>1555</v>
      </c>
      <c r="D780" s="15" t="s">
        <v>1414</v>
      </c>
      <c r="E780" s="15" t="s">
        <v>201</v>
      </c>
      <c r="F780" s="24" t="s">
        <v>173</v>
      </c>
      <c r="G780" s="15" t="n">
        <f aca="false">IFERROR(INDEX(Decisions!$K$2:$K$122,MATCH(E780,Decisions!$A$2:$A$122,0)),"")</f>
        <v>0</v>
      </c>
    </row>
    <row r="781" customFormat="false" ht="15" hidden="false" customHeight="false" outlineLevel="0" collapsed="false">
      <c r="A781" s="15" t="s">
        <v>1558</v>
      </c>
      <c r="B781" s="15" t="s">
        <v>68</v>
      </c>
      <c r="C781" s="15" t="s">
        <v>1555</v>
      </c>
      <c r="D781" s="15" t="s">
        <v>1414</v>
      </c>
      <c r="E781" s="15" t="s">
        <v>209</v>
      </c>
      <c r="F781" s="24" t="s">
        <v>173</v>
      </c>
      <c r="G781" s="15" t="n">
        <f aca="false">IFERROR(INDEX(Decisions!$K$2:$K$122,MATCH(E781,Decisions!$A$2:$A$122,0)),"")</f>
        <v>0</v>
      </c>
    </row>
    <row r="782" customFormat="false" ht="15" hidden="false" customHeight="false" outlineLevel="0" collapsed="false">
      <c r="A782" s="15" t="s">
        <v>1559</v>
      </c>
      <c r="B782" s="15" t="s">
        <v>68</v>
      </c>
      <c r="C782" s="15" t="s">
        <v>1560</v>
      </c>
      <c r="D782" s="15" t="s">
        <v>1561</v>
      </c>
      <c r="E782" s="15" t="s">
        <v>191</v>
      </c>
      <c r="F782" s="24" t="s">
        <v>173</v>
      </c>
      <c r="G782" s="15" t="n">
        <f aca="false">IFERROR(INDEX(Decisions!$K$2:$K$122,MATCH(E782,Decisions!$A$2:$A$122,0)),"")</f>
        <v>0</v>
      </c>
    </row>
    <row r="783" customFormat="false" ht="15" hidden="false" customHeight="false" outlineLevel="0" collapsed="false">
      <c r="A783" s="15" t="s">
        <v>1562</v>
      </c>
      <c r="B783" s="15" t="s">
        <v>68</v>
      </c>
      <c r="C783" s="15" t="s">
        <v>1560</v>
      </c>
      <c r="D783" s="15" t="s">
        <v>1561</v>
      </c>
      <c r="E783" s="15" t="s">
        <v>99</v>
      </c>
      <c r="F783" s="23" t="s">
        <v>97</v>
      </c>
      <c r="G783" s="15" t="n">
        <f aca="false">IFERROR(INDEX(Decisions!$K$2:$K$122,MATCH(E783,Decisions!$A$2:$A$122,0)),"")</f>
        <v>0</v>
      </c>
    </row>
    <row r="784" customFormat="false" ht="15" hidden="false" customHeight="false" outlineLevel="0" collapsed="false">
      <c r="A784" s="15" t="s">
        <v>1563</v>
      </c>
      <c r="B784" s="15" t="s">
        <v>68</v>
      </c>
      <c r="C784" s="15" t="s">
        <v>1560</v>
      </c>
      <c r="D784" s="15" t="s">
        <v>1561</v>
      </c>
      <c r="E784" s="15" t="s">
        <v>108</v>
      </c>
      <c r="F784" s="23" t="s">
        <v>97</v>
      </c>
      <c r="G784" s="15" t="n">
        <f aca="false">IFERROR(INDEX(Decisions!$K$2:$K$122,MATCH(E784,Decisions!$A$2:$A$122,0)),"")</f>
        <v>0</v>
      </c>
    </row>
    <row r="785" customFormat="false" ht="15" hidden="false" customHeight="false" outlineLevel="0" collapsed="false">
      <c r="A785" s="15" t="s">
        <v>1564</v>
      </c>
      <c r="B785" s="15" t="s">
        <v>68</v>
      </c>
      <c r="C785" s="15" t="s">
        <v>1560</v>
      </c>
      <c r="D785" s="15" t="s">
        <v>1561</v>
      </c>
      <c r="E785" s="15" t="s">
        <v>106</v>
      </c>
      <c r="F785" s="23" t="s">
        <v>97</v>
      </c>
      <c r="G785" s="15" t="n">
        <f aca="false">IFERROR(INDEX(Decisions!$K$2:$K$122,MATCH(E785,Decisions!$A$2:$A$122,0)),"")</f>
        <v>0</v>
      </c>
    </row>
    <row r="786" customFormat="false" ht="15" hidden="false" customHeight="false" outlineLevel="0" collapsed="false">
      <c r="A786" s="15" t="s">
        <v>1565</v>
      </c>
      <c r="B786" s="15" t="s">
        <v>68</v>
      </c>
      <c r="C786" s="15" t="s">
        <v>1560</v>
      </c>
      <c r="D786" s="15" t="s">
        <v>1561</v>
      </c>
      <c r="E786" s="15" t="s">
        <v>194</v>
      </c>
      <c r="F786" s="24" t="s">
        <v>173</v>
      </c>
      <c r="G786" s="15" t="n">
        <f aca="false">IFERROR(INDEX(Decisions!$K$2:$K$122,MATCH(E786,Decisions!$A$2:$A$122,0)),"")</f>
        <v>0</v>
      </c>
    </row>
    <row r="787" customFormat="false" ht="15" hidden="false" customHeight="false" outlineLevel="0" collapsed="false">
      <c r="A787" s="15" t="s">
        <v>1566</v>
      </c>
      <c r="B787" s="15" t="s">
        <v>68</v>
      </c>
      <c r="C787" s="15" t="s">
        <v>1560</v>
      </c>
      <c r="D787" s="15" t="s">
        <v>1561</v>
      </c>
      <c r="E787" s="15" t="s">
        <v>58</v>
      </c>
      <c r="F787" s="25" t="s">
        <v>26</v>
      </c>
      <c r="G787" s="15" t="str">
        <f aca="false">IFERROR(INDEX(Decisions!$K$2:$K$122,MATCH(E787,Decisions!$A$2:$A$122,0)),"")</f>
        <v>drop</v>
      </c>
    </row>
    <row r="788" customFormat="false" ht="15" hidden="false" customHeight="false" outlineLevel="0" collapsed="false">
      <c r="A788" s="15" t="s">
        <v>1567</v>
      </c>
      <c r="B788" s="15" t="s">
        <v>68</v>
      </c>
      <c r="C788" s="15" t="s">
        <v>1560</v>
      </c>
      <c r="D788" s="15" t="s">
        <v>1561</v>
      </c>
      <c r="E788" s="15" t="s">
        <v>22</v>
      </c>
      <c r="F788" s="25" t="s">
        <v>26</v>
      </c>
      <c r="G788" s="15" t="str">
        <f aca="false">IFERROR(INDEX(Decisions!$K$2:$K$122,MATCH(E788,Decisions!$A$2:$A$122,0)),"")</f>
        <v>drop</v>
      </c>
    </row>
    <row r="789" customFormat="false" ht="15" hidden="false" customHeight="false" outlineLevel="0" collapsed="false">
      <c r="A789" s="15" t="s">
        <v>1568</v>
      </c>
      <c r="B789" s="15" t="s">
        <v>68</v>
      </c>
      <c r="C789" s="15" t="s">
        <v>1560</v>
      </c>
      <c r="D789" s="15" t="s">
        <v>1569</v>
      </c>
      <c r="E789" s="15" t="s">
        <v>276</v>
      </c>
      <c r="F789" s="24" t="s">
        <v>173</v>
      </c>
      <c r="G789" s="15" t="n">
        <f aca="false">IFERROR(INDEX(Decisions!$K$2:$K$122,MATCH(E789,Decisions!$A$2:$A$122,0)),"")</f>
        <v>0</v>
      </c>
    </row>
    <row r="790" customFormat="false" ht="15" hidden="false" customHeight="false" outlineLevel="0" collapsed="false">
      <c r="A790" s="15" t="s">
        <v>1570</v>
      </c>
      <c r="B790" s="15" t="s">
        <v>68</v>
      </c>
      <c r="C790" s="15" t="s">
        <v>1560</v>
      </c>
      <c r="D790" s="15" t="s">
        <v>1569</v>
      </c>
      <c r="E790" s="15" t="s">
        <v>268</v>
      </c>
      <c r="F790" s="24" t="s">
        <v>173</v>
      </c>
      <c r="G790" s="15" t="n">
        <f aca="false">IFERROR(INDEX(Decisions!$K$2:$K$122,MATCH(E790,Decisions!$A$2:$A$122,0)),"")</f>
        <v>0</v>
      </c>
    </row>
    <row r="791" customFormat="false" ht="15" hidden="false" customHeight="false" outlineLevel="0" collapsed="false">
      <c r="A791" s="15" t="s">
        <v>1571</v>
      </c>
      <c r="B791" s="15" t="s">
        <v>68</v>
      </c>
      <c r="C791" s="15" t="s">
        <v>1560</v>
      </c>
      <c r="D791" s="15" t="s">
        <v>1569</v>
      </c>
      <c r="E791" s="15" t="s">
        <v>298</v>
      </c>
      <c r="F791" s="24" t="s">
        <v>173</v>
      </c>
      <c r="G791" s="15" t="n">
        <f aca="false">IFERROR(INDEX(Decisions!$K$2:$K$122,MATCH(E791,Decisions!$A$2:$A$122,0)),"")</f>
        <v>0</v>
      </c>
    </row>
    <row r="792" customFormat="false" ht="15" hidden="false" customHeight="false" outlineLevel="0" collapsed="false">
      <c r="A792" s="15" t="s">
        <v>1572</v>
      </c>
      <c r="B792" s="15" t="s">
        <v>68</v>
      </c>
      <c r="C792" s="15" t="s">
        <v>1560</v>
      </c>
      <c r="D792" s="15" t="s">
        <v>1569</v>
      </c>
      <c r="E792" s="15" t="s">
        <v>300</v>
      </c>
      <c r="F792" s="24" t="s">
        <v>173</v>
      </c>
      <c r="G792" s="15" t="n">
        <f aca="false">IFERROR(INDEX(Decisions!$K$2:$K$122,MATCH(E792,Decisions!$A$2:$A$122,0)),"")</f>
        <v>0</v>
      </c>
    </row>
    <row r="793" customFormat="false" ht="15" hidden="false" customHeight="false" outlineLevel="0" collapsed="false">
      <c r="A793" s="15" t="s">
        <v>1573</v>
      </c>
      <c r="B793" s="15" t="s">
        <v>68</v>
      </c>
      <c r="C793" s="15" t="s">
        <v>1555</v>
      </c>
      <c r="D793" s="15" t="s">
        <v>754</v>
      </c>
      <c r="E793" s="15" t="s">
        <v>94</v>
      </c>
      <c r="F793" s="23" t="s">
        <v>97</v>
      </c>
      <c r="G793" s="15" t="n">
        <f aca="false">IFERROR(INDEX(Decisions!$K$2:$K$122,MATCH(E793,Decisions!$A$2:$A$122,0)),"")</f>
        <v>0</v>
      </c>
    </row>
    <row r="794" customFormat="false" ht="15" hidden="false" customHeight="false" outlineLevel="0" collapsed="false">
      <c r="A794" s="15" t="s">
        <v>1574</v>
      </c>
      <c r="B794" s="15" t="s">
        <v>68</v>
      </c>
      <c r="C794" s="15" t="s">
        <v>1555</v>
      </c>
      <c r="D794" s="15" t="s">
        <v>754</v>
      </c>
      <c r="E794" s="15" t="s">
        <v>215</v>
      </c>
      <c r="F794" s="24" t="s">
        <v>173</v>
      </c>
      <c r="G794" s="15" t="n">
        <f aca="false">IFERROR(INDEX(Decisions!$K$2:$K$122,MATCH(E794,Decisions!$A$2:$A$122,0)),"")</f>
        <v>0</v>
      </c>
    </row>
    <row r="795" customFormat="false" ht="15" hidden="false" customHeight="false" outlineLevel="0" collapsed="false">
      <c r="A795" s="15" t="s">
        <v>1575</v>
      </c>
      <c r="B795" s="15" t="s">
        <v>68</v>
      </c>
      <c r="C795" s="15" t="s">
        <v>1555</v>
      </c>
      <c r="D795" s="15" t="s">
        <v>754</v>
      </c>
      <c r="E795" s="15" t="s">
        <v>233</v>
      </c>
      <c r="F795" s="24" t="s">
        <v>173</v>
      </c>
      <c r="G795" s="15" t="n">
        <f aca="false">IFERROR(INDEX(Decisions!$K$2:$K$122,MATCH(E795,Decisions!$A$2:$A$122,0)),"")</f>
        <v>0</v>
      </c>
    </row>
    <row r="796" customFormat="false" ht="15" hidden="false" customHeight="false" outlineLevel="0" collapsed="false">
      <c r="A796" s="15" t="s">
        <v>1576</v>
      </c>
      <c r="B796" s="15" t="s">
        <v>68</v>
      </c>
      <c r="C796" s="15" t="s">
        <v>1555</v>
      </c>
      <c r="D796" s="15" t="s">
        <v>754</v>
      </c>
      <c r="E796" s="15" t="s">
        <v>183</v>
      </c>
      <c r="F796" s="24" t="s">
        <v>173</v>
      </c>
      <c r="G796" s="15" t="n">
        <f aca="false">IFERROR(INDEX(Decisions!$K$2:$K$122,MATCH(E796,Decisions!$A$2:$A$122,0)),"")</f>
        <v>0</v>
      </c>
    </row>
    <row r="797" customFormat="false" ht="15" hidden="false" customHeight="false" outlineLevel="0" collapsed="false">
      <c r="A797" s="15" t="s">
        <v>1577</v>
      </c>
      <c r="B797" s="15" t="s">
        <v>68</v>
      </c>
      <c r="C797" s="15" t="s">
        <v>1578</v>
      </c>
      <c r="D797" s="15" t="s">
        <v>596</v>
      </c>
      <c r="E797" s="15" t="s">
        <v>222</v>
      </c>
      <c r="F797" s="24" t="s">
        <v>173</v>
      </c>
      <c r="G797" s="15" t="n">
        <f aca="false">IFERROR(INDEX(Decisions!$K$2:$K$122,MATCH(E797,Decisions!$A$2:$A$122,0)),"")</f>
        <v>0</v>
      </c>
    </row>
    <row r="798" customFormat="false" ht="15" hidden="false" customHeight="false" outlineLevel="0" collapsed="false">
      <c r="A798" s="15" t="s">
        <v>1579</v>
      </c>
      <c r="B798" s="15" t="s">
        <v>68</v>
      </c>
      <c r="C798" s="15" t="s">
        <v>1578</v>
      </c>
      <c r="D798" s="15" t="s">
        <v>598</v>
      </c>
      <c r="E798" s="15" t="s">
        <v>110</v>
      </c>
      <c r="F798" s="23" t="s">
        <v>97</v>
      </c>
      <c r="G798" s="15" t="n">
        <f aca="false">IFERROR(INDEX(Decisions!$K$2:$K$122,MATCH(E798,Decisions!$A$2:$A$122,0)),"")</f>
        <v>0</v>
      </c>
    </row>
    <row r="799" customFormat="false" ht="15" hidden="false" customHeight="false" outlineLevel="0" collapsed="false">
      <c r="A799" s="15" t="s">
        <v>1580</v>
      </c>
      <c r="B799" s="15" t="s">
        <v>68</v>
      </c>
      <c r="C799" s="15" t="s">
        <v>1578</v>
      </c>
      <c r="D799" s="15" t="s">
        <v>598</v>
      </c>
      <c r="E799" s="15" t="s">
        <v>198</v>
      </c>
      <c r="F799" s="24" t="s">
        <v>173</v>
      </c>
      <c r="G799" s="15" t="n">
        <f aca="false">IFERROR(INDEX(Decisions!$K$2:$K$122,MATCH(E799,Decisions!$A$2:$A$122,0)),"")</f>
        <v>0</v>
      </c>
    </row>
    <row r="800" customFormat="false" ht="15" hidden="false" customHeight="false" outlineLevel="0" collapsed="false">
      <c r="A800" s="15" t="s">
        <v>1581</v>
      </c>
      <c r="B800" s="15" t="s">
        <v>68</v>
      </c>
      <c r="C800" s="15" t="s">
        <v>1582</v>
      </c>
      <c r="D800" s="15" t="s">
        <v>1583</v>
      </c>
      <c r="E800" s="15" t="s">
        <v>120</v>
      </c>
      <c r="F800" s="23" t="s">
        <v>97</v>
      </c>
      <c r="G800" s="15" t="n">
        <f aca="false">IFERROR(INDEX(Decisions!$K$2:$K$122,MATCH(E800,Decisions!$A$2:$A$122,0)),"")</f>
        <v>0</v>
      </c>
    </row>
    <row r="801" customFormat="false" ht="15" hidden="false" customHeight="false" outlineLevel="0" collapsed="false">
      <c r="A801" s="15" t="s">
        <v>1584</v>
      </c>
      <c r="B801" s="15" t="s">
        <v>68</v>
      </c>
      <c r="C801" s="15" t="s">
        <v>1582</v>
      </c>
      <c r="D801" s="15" t="s">
        <v>1583</v>
      </c>
      <c r="E801" s="15" t="s">
        <v>122</v>
      </c>
      <c r="F801" s="23" t="s">
        <v>97</v>
      </c>
      <c r="G801" s="15" t="n">
        <f aca="false">IFERROR(INDEX(Decisions!$K$2:$K$122,MATCH(E801,Decisions!$A$2:$A$122,0)),"")</f>
        <v>0</v>
      </c>
    </row>
    <row r="802" customFormat="false" ht="15" hidden="false" customHeight="false" outlineLevel="0" collapsed="false">
      <c r="A802" s="15" t="s">
        <v>1585</v>
      </c>
      <c r="B802" s="15" t="s">
        <v>68</v>
      </c>
      <c r="C802" s="15" t="s">
        <v>1582</v>
      </c>
      <c r="D802" s="15" t="s">
        <v>1583</v>
      </c>
      <c r="E802" s="15" t="s">
        <v>63</v>
      </c>
      <c r="F802" s="25" t="s">
        <v>26</v>
      </c>
      <c r="G802" s="15" t="str">
        <f aca="false">IFERROR(INDEX(Decisions!$K$2:$K$122,MATCH(E802,Decisions!$A$2:$A$122,0)),"")</f>
        <v>drop</v>
      </c>
    </row>
    <row r="803" customFormat="false" ht="15" hidden="false" customHeight="false" outlineLevel="0" collapsed="false">
      <c r="A803" s="15" t="s">
        <v>1586</v>
      </c>
      <c r="B803" s="15" t="s">
        <v>68</v>
      </c>
      <c r="C803" s="15" t="s">
        <v>1582</v>
      </c>
      <c r="D803" s="15" t="s">
        <v>1583</v>
      </c>
      <c r="E803" s="15" t="s">
        <v>141</v>
      </c>
      <c r="F803" s="23" t="s">
        <v>97</v>
      </c>
      <c r="G803" s="15" t="n">
        <f aca="false">IFERROR(INDEX(Decisions!$K$2:$K$122,MATCH(E803,Decisions!$A$2:$A$122,0)),"")</f>
        <v>0</v>
      </c>
    </row>
    <row r="804" customFormat="false" ht="15" hidden="false" customHeight="false" outlineLevel="0" collapsed="false">
      <c r="A804" s="15" t="s">
        <v>1587</v>
      </c>
      <c r="B804" s="15" t="s">
        <v>68</v>
      </c>
      <c r="C804" s="15" t="s">
        <v>1582</v>
      </c>
      <c r="D804" s="15" t="s">
        <v>1583</v>
      </c>
      <c r="E804" s="15" t="s">
        <v>124</v>
      </c>
      <c r="F804" s="23" t="s">
        <v>97</v>
      </c>
      <c r="G804" s="15" t="n">
        <f aca="false">IFERROR(INDEX(Decisions!$K$2:$K$122,MATCH(E804,Decisions!$A$2:$A$122,0)),"")</f>
        <v>0</v>
      </c>
    </row>
    <row r="805" customFormat="false" ht="15" hidden="false" customHeight="false" outlineLevel="0" collapsed="false">
      <c r="A805" s="15" t="s">
        <v>1588</v>
      </c>
      <c r="B805" s="15" t="s">
        <v>68</v>
      </c>
      <c r="C805" s="15" t="s">
        <v>1582</v>
      </c>
      <c r="D805" s="15" t="s">
        <v>1583</v>
      </c>
      <c r="E805" s="15" t="s">
        <v>262</v>
      </c>
      <c r="F805" s="24" t="s">
        <v>173</v>
      </c>
      <c r="G805" s="15" t="n">
        <f aca="false">IFERROR(INDEX(Decisions!$K$2:$K$122,MATCH(E805,Decisions!$A$2:$A$122,0)),"")</f>
        <v>0</v>
      </c>
    </row>
    <row r="806" customFormat="false" ht="15" hidden="false" customHeight="false" outlineLevel="0" collapsed="false">
      <c r="A806" s="15" t="s">
        <v>1589</v>
      </c>
      <c r="B806" s="15" t="s">
        <v>68</v>
      </c>
      <c r="C806" s="15" t="s">
        <v>1582</v>
      </c>
      <c r="D806" s="15" t="s">
        <v>1583</v>
      </c>
      <c r="E806" s="15" t="s">
        <v>247</v>
      </c>
      <c r="F806" s="24" t="s">
        <v>173</v>
      </c>
      <c r="G806" s="15" t="n">
        <f aca="false">IFERROR(INDEX(Decisions!$K$2:$K$122,MATCH(E806,Decisions!$A$2:$A$122,0)),"")</f>
        <v>0</v>
      </c>
    </row>
    <row r="807" customFormat="false" ht="15" hidden="false" customHeight="false" outlineLevel="0" collapsed="false">
      <c r="A807" s="15" t="s">
        <v>1590</v>
      </c>
      <c r="B807" s="15" t="s">
        <v>68</v>
      </c>
      <c r="C807" s="15" t="s">
        <v>1582</v>
      </c>
      <c r="D807" s="15" t="s">
        <v>1583</v>
      </c>
      <c r="E807" s="15" t="s">
        <v>251</v>
      </c>
      <c r="F807" s="24" t="s">
        <v>173</v>
      </c>
      <c r="G807" s="15" t="n">
        <f aca="false">IFERROR(INDEX(Decisions!$K$2:$K$122,MATCH(E807,Decisions!$A$2:$A$122,0)),"")</f>
        <v>0</v>
      </c>
    </row>
    <row r="808" customFormat="false" ht="15" hidden="false" customHeight="false" outlineLevel="0" collapsed="false">
      <c r="A808" s="15" t="s">
        <v>1591</v>
      </c>
      <c r="B808" s="15" t="s">
        <v>68</v>
      </c>
      <c r="C808" s="15" t="s">
        <v>1582</v>
      </c>
      <c r="D808" s="15" t="s">
        <v>1583</v>
      </c>
      <c r="E808" s="15" t="s">
        <v>126</v>
      </c>
      <c r="F808" s="23" t="s">
        <v>97</v>
      </c>
      <c r="G808" s="15" t="n">
        <f aca="false">IFERROR(INDEX(Decisions!$K$2:$K$122,MATCH(E808,Decisions!$A$2:$A$122,0)),"")</f>
        <v>0</v>
      </c>
    </row>
    <row r="809" customFormat="false" ht="15" hidden="false" customHeight="false" outlineLevel="0" collapsed="false">
      <c r="A809" s="15" t="s">
        <v>1592</v>
      </c>
      <c r="B809" s="15" t="s">
        <v>68</v>
      </c>
      <c r="C809" s="15" t="s">
        <v>1593</v>
      </c>
      <c r="D809" s="15" t="s">
        <v>1594</v>
      </c>
      <c r="E809" s="15" t="s">
        <v>187</v>
      </c>
      <c r="F809" s="24" t="s">
        <v>173</v>
      </c>
      <c r="G809" s="15" t="n">
        <f aca="false">IFERROR(INDEX(Decisions!$K$2:$K$122,MATCH(E809,Decisions!$A$2:$A$122,0)),"")</f>
        <v>0</v>
      </c>
    </row>
    <row r="810" customFormat="false" ht="15" hidden="false" customHeight="false" outlineLevel="0" collapsed="false">
      <c r="A810" s="15" t="s">
        <v>1595</v>
      </c>
      <c r="B810" s="15" t="s">
        <v>68</v>
      </c>
      <c r="C810" s="15" t="s">
        <v>1593</v>
      </c>
      <c r="D810" s="15" t="s">
        <v>1594</v>
      </c>
      <c r="E810" s="15" t="s">
        <v>170</v>
      </c>
      <c r="F810" s="24" t="s">
        <v>173</v>
      </c>
      <c r="G810" s="15" t="n">
        <f aca="false">IFERROR(INDEX(Decisions!$K$2:$K$122,MATCH(E810,Decisions!$A$2:$A$122,0)),"")</f>
        <v>0</v>
      </c>
    </row>
    <row r="811" customFormat="false" ht="15" hidden="false" customHeight="false" outlineLevel="0" collapsed="false">
      <c r="A811" s="15" t="s">
        <v>1596</v>
      </c>
      <c r="B811" s="15" t="s">
        <v>68</v>
      </c>
      <c r="C811" s="15" t="s">
        <v>1593</v>
      </c>
      <c r="D811" s="15" t="s">
        <v>1597</v>
      </c>
      <c r="E811" s="15" t="s">
        <v>187</v>
      </c>
      <c r="F811" s="24" t="s">
        <v>173</v>
      </c>
      <c r="G811" s="15" t="n">
        <f aca="false">IFERROR(INDEX(Decisions!$K$2:$K$122,MATCH(E811,Decisions!$A$2:$A$122,0)),"")</f>
        <v>0</v>
      </c>
    </row>
    <row r="812" customFormat="false" ht="15" hidden="false" customHeight="false" outlineLevel="0" collapsed="false">
      <c r="A812" s="15" t="s">
        <v>1598</v>
      </c>
      <c r="B812" s="15" t="s">
        <v>68</v>
      </c>
      <c r="C812" s="15" t="s">
        <v>1593</v>
      </c>
      <c r="D812" s="15" t="s">
        <v>1597</v>
      </c>
      <c r="E812" s="15" t="s">
        <v>170</v>
      </c>
      <c r="F812" s="24" t="s">
        <v>173</v>
      </c>
      <c r="G812" s="15" t="n">
        <f aca="false">IFERROR(INDEX(Decisions!$K$2:$K$122,MATCH(E812,Decisions!$A$2:$A$122,0)),"")</f>
        <v>0</v>
      </c>
    </row>
    <row r="813" customFormat="false" ht="15" hidden="false" customHeight="false" outlineLevel="0" collapsed="false">
      <c r="A813" s="15" t="s">
        <v>1599</v>
      </c>
      <c r="B813" s="15" t="s">
        <v>68</v>
      </c>
      <c r="C813" s="15" t="s">
        <v>1593</v>
      </c>
      <c r="D813" s="15" t="s">
        <v>1600</v>
      </c>
      <c r="E813" s="15" t="s">
        <v>187</v>
      </c>
      <c r="F813" s="24" t="s">
        <v>173</v>
      </c>
      <c r="G813" s="15" t="n">
        <f aca="false">IFERROR(INDEX(Decisions!$K$2:$K$122,MATCH(E813,Decisions!$A$2:$A$122,0)),"")</f>
        <v>0</v>
      </c>
    </row>
    <row r="814" customFormat="false" ht="15" hidden="false" customHeight="false" outlineLevel="0" collapsed="false">
      <c r="A814" s="15" t="s">
        <v>1601</v>
      </c>
      <c r="B814" s="15" t="s">
        <v>68</v>
      </c>
      <c r="C814" s="15" t="s">
        <v>1593</v>
      </c>
      <c r="D814" s="15" t="s">
        <v>1600</v>
      </c>
      <c r="E814" s="15" t="s">
        <v>170</v>
      </c>
      <c r="F814" s="24" t="s">
        <v>173</v>
      </c>
      <c r="G814" s="15" t="n">
        <f aca="false">IFERROR(INDEX(Decisions!$K$2:$K$122,MATCH(E814,Decisions!$A$2:$A$122,0)),"")</f>
        <v>0</v>
      </c>
    </row>
    <row r="815" customFormat="false" ht="15" hidden="false" customHeight="false" outlineLevel="0" collapsed="false">
      <c r="A815" s="15" t="s">
        <v>1602</v>
      </c>
      <c r="B815" s="15" t="s">
        <v>68</v>
      </c>
      <c r="C815" s="15" t="s">
        <v>1593</v>
      </c>
      <c r="D815" s="15" t="s">
        <v>1036</v>
      </c>
      <c r="E815" s="15" t="s">
        <v>177</v>
      </c>
      <c r="F815" s="24" t="s">
        <v>173</v>
      </c>
      <c r="G815" s="15" t="n">
        <f aca="false">IFERROR(INDEX(Decisions!$K$2:$K$122,MATCH(E815,Decisions!$A$2:$A$122,0)),"")</f>
        <v>0</v>
      </c>
    </row>
    <row r="816" customFormat="false" ht="15" hidden="false" customHeight="false" outlineLevel="0" collapsed="false">
      <c r="A816" s="15" t="s">
        <v>1603</v>
      </c>
      <c r="B816" s="15" t="s">
        <v>68</v>
      </c>
      <c r="C816" s="15" t="s">
        <v>1604</v>
      </c>
      <c r="D816" s="15" t="s">
        <v>1605</v>
      </c>
      <c r="E816" s="15" t="s">
        <v>101</v>
      </c>
      <c r="F816" s="23" t="s">
        <v>97</v>
      </c>
      <c r="G816" s="15" t="n">
        <f aca="false">IFERROR(INDEX(Decisions!$K$2:$K$122,MATCH(E816,Decisions!$A$2:$A$122,0)),"")</f>
        <v>0</v>
      </c>
    </row>
    <row r="817" customFormat="false" ht="15" hidden="false" customHeight="false" outlineLevel="0" collapsed="false">
      <c r="A817" s="15" t="s">
        <v>1606</v>
      </c>
      <c r="B817" s="15" t="s">
        <v>68</v>
      </c>
      <c r="C817" s="15" t="s">
        <v>1604</v>
      </c>
      <c r="D817" s="15" t="s">
        <v>1605</v>
      </c>
      <c r="E817" s="15" t="s">
        <v>104</v>
      </c>
      <c r="F817" s="23" t="s">
        <v>97</v>
      </c>
      <c r="G817" s="15" t="n">
        <f aca="false">IFERROR(INDEX(Decisions!$K$2:$K$122,MATCH(E817,Decisions!$A$2:$A$122,0)),"")</f>
        <v>0</v>
      </c>
    </row>
    <row r="818" customFormat="false" ht="15" hidden="false" customHeight="false" outlineLevel="0" collapsed="false">
      <c r="A818" s="15" t="s">
        <v>1607</v>
      </c>
      <c r="B818" s="15" t="s">
        <v>68</v>
      </c>
      <c r="C818" s="15" t="s">
        <v>1604</v>
      </c>
      <c r="D818" s="15" t="s">
        <v>1605</v>
      </c>
      <c r="E818" s="15" t="s">
        <v>201</v>
      </c>
      <c r="F818" s="24" t="s">
        <v>173</v>
      </c>
      <c r="G818" s="15" t="n">
        <f aca="false">IFERROR(INDEX(Decisions!$K$2:$K$122,MATCH(E818,Decisions!$A$2:$A$122,0)),"")</f>
        <v>0</v>
      </c>
    </row>
    <row r="819" customFormat="false" ht="15" hidden="false" customHeight="false" outlineLevel="0" collapsed="false">
      <c r="A819" s="15" t="s">
        <v>1608</v>
      </c>
      <c r="B819" s="15" t="s">
        <v>68</v>
      </c>
      <c r="C819" s="15" t="s">
        <v>1604</v>
      </c>
      <c r="D819" s="15" t="s">
        <v>1605</v>
      </c>
      <c r="E819" s="15" t="s">
        <v>209</v>
      </c>
      <c r="F819" s="24" t="s">
        <v>173</v>
      </c>
      <c r="G819" s="15" t="n">
        <f aca="false">IFERROR(INDEX(Decisions!$K$2:$K$122,MATCH(E819,Decisions!$A$2:$A$122,0)),"")</f>
        <v>0</v>
      </c>
    </row>
    <row r="820" customFormat="false" ht="15" hidden="false" customHeight="false" outlineLevel="0" collapsed="false">
      <c r="A820" s="15" t="s">
        <v>1609</v>
      </c>
      <c r="B820" s="15" t="s">
        <v>68</v>
      </c>
      <c r="C820" s="15" t="s">
        <v>1604</v>
      </c>
      <c r="D820" s="15" t="s">
        <v>1605</v>
      </c>
      <c r="E820" s="15" t="s">
        <v>206</v>
      </c>
      <c r="F820" s="24" t="s">
        <v>173</v>
      </c>
      <c r="G820" s="15" t="n">
        <f aca="false">IFERROR(INDEX(Decisions!$K$2:$K$122,MATCH(E820,Decisions!$A$2:$A$122,0)),"")</f>
        <v>0</v>
      </c>
    </row>
    <row r="821" customFormat="false" ht="15" hidden="false" customHeight="false" outlineLevel="0" collapsed="false">
      <c r="A821" s="15" t="s">
        <v>1610</v>
      </c>
      <c r="B821" s="15" t="s">
        <v>68</v>
      </c>
      <c r="C821" s="15" t="s">
        <v>1604</v>
      </c>
      <c r="D821" s="15" t="s">
        <v>1611</v>
      </c>
      <c r="E821" s="15" t="s">
        <v>101</v>
      </c>
      <c r="F821" s="23" t="s">
        <v>97</v>
      </c>
      <c r="G821" s="15" t="n">
        <f aca="false">IFERROR(INDEX(Decisions!$K$2:$K$122,MATCH(E821,Decisions!$A$2:$A$122,0)),"")</f>
        <v>0</v>
      </c>
    </row>
    <row r="822" customFormat="false" ht="15" hidden="false" customHeight="false" outlineLevel="0" collapsed="false">
      <c r="A822" s="15" t="s">
        <v>1612</v>
      </c>
      <c r="B822" s="15" t="s">
        <v>68</v>
      </c>
      <c r="C822" s="15" t="s">
        <v>1604</v>
      </c>
      <c r="D822" s="15" t="s">
        <v>1611</v>
      </c>
      <c r="E822" s="15" t="s">
        <v>104</v>
      </c>
      <c r="F822" s="23" t="s">
        <v>97</v>
      </c>
      <c r="G822" s="15" t="n">
        <f aca="false">IFERROR(INDEX(Decisions!$K$2:$K$122,MATCH(E822,Decisions!$A$2:$A$122,0)),"")</f>
        <v>0</v>
      </c>
    </row>
    <row r="823" customFormat="false" ht="15" hidden="false" customHeight="false" outlineLevel="0" collapsed="false">
      <c r="A823" s="15" t="s">
        <v>1613</v>
      </c>
      <c r="B823" s="15" t="s">
        <v>68</v>
      </c>
      <c r="C823" s="15" t="s">
        <v>1604</v>
      </c>
      <c r="D823" s="15" t="s">
        <v>1611</v>
      </c>
      <c r="E823" s="15" t="s">
        <v>209</v>
      </c>
      <c r="F823" s="24" t="s">
        <v>173</v>
      </c>
      <c r="G823" s="15" t="n">
        <f aca="false">IFERROR(INDEX(Decisions!$K$2:$K$122,MATCH(E823,Decisions!$A$2:$A$122,0)),"")</f>
        <v>0</v>
      </c>
    </row>
    <row r="824" customFormat="false" ht="15" hidden="false" customHeight="false" outlineLevel="0" collapsed="false">
      <c r="A824" s="15" t="s">
        <v>1614</v>
      </c>
      <c r="B824" s="15" t="s">
        <v>68</v>
      </c>
      <c r="C824" s="15" t="s">
        <v>1615</v>
      </c>
      <c r="D824" s="15" t="s">
        <v>1616</v>
      </c>
      <c r="E824" s="15" t="s">
        <v>94</v>
      </c>
      <c r="F824" s="23" t="s">
        <v>97</v>
      </c>
      <c r="G824" s="15" t="n">
        <f aca="false">IFERROR(INDEX(Decisions!$K$2:$K$122,MATCH(E824,Decisions!$A$2:$A$122,0)),"")</f>
        <v>0</v>
      </c>
    </row>
    <row r="825" customFormat="false" ht="15" hidden="false" customHeight="false" outlineLevel="0" collapsed="false">
      <c r="A825" s="15" t="s">
        <v>1617</v>
      </c>
      <c r="B825" s="15" t="s">
        <v>68</v>
      </c>
      <c r="C825" s="15" t="s">
        <v>1615</v>
      </c>
      <c r="D825" s="15" t="s">
        <v>1616</v>
      </c>
      <c r="E825" s="15" t="s">
        <v>183</v>
      </c>
      <c r="F825" s="24" t="s">
        <v>173</v>
      </c>
      <c r="G825" s="15" t="n">
        <f aca="false">IFERROR(INDEX(Decisions!$K$2:$K$122,MATCH(E825,Decisions!$A$2:$A$122,0)),"")</f>
        <v>0</v>
      </c>
    </row>
    <row r="826" customFormat="false" ht="15" hidden="false" customHeight="false" outlineLevel="0" collapsed="false">
      <c r="A826" s="15" t="s">
        <v>1618</v>
      </c>
      <c r="B826" s="15" t="s">
        <v>68</v>
      </c>
      <c r="C826" s="15" t="s">
        <v>1615</v>
      </c>
      <c r="D826" s="15" t="s">
        <v>1619</v>
      </c>
      <c r="E826" s="15" t="s">
        <v>94</v>
      </c>
      <c r="F826" s="23" t="s">
        <v>97</v>
      </c>
      <c r="G826" s="15" t="n">
        <f aca="false">IFERROR(INDEX(Decisions!$K$2:$K$122,MATCH(E826,Decisions!$A$2:$A$122,0)),"")</f>
        <v>0</v>
      </c>
    </row>
    <row r="827" customFormat="false" ht="15" hidden="false" customHeight="false" outlineLevel="0" collapsed="false">
      <c r="A827" s="15" t="s">
        <v>1620</v>
      </c>
      <c r="B827" s="15" t="s">
        <v>68</v>
      </c>
      <c r="C827" s="15" t="s">
        <v>1615</v>
      </c>
      <c r="D827" s="15" t="s">
        <v>1619</v>
      </c>
      <c r="E827" s="15" t="s">
        <v>215</v>
      </c>
      <c r="F827" s="24" t="s">
        <v>173</v>
      </c>
      <c r="G827" s="15" t="n">
        <f aca="false">IFERROR(INDEX(Decisions!$K$2:$K$122,MATCH(E827,Decisions!$A$2:$A$122,0)),"")</f>
        <v>0</v>
      </c>
    </row>
    <row r="828" customFormat="false" ht="15" hidden="false" customHeight="false" outlineLevel="0" collapsed="false">
      <c r="A828" s="15" t="s">
        <v>1621</v>
      </c>
      <c r="B828" s="15" t="s">
        <v>68</v>
      </c>
      <c r="C828" s="15" t="s">
        <v>1615</v>
      </c>
      <c r="D828" s="15" t="s">
        <v>1619</v>
      </c>
      <c r="E828" s="15" t="s">
        <v>183</v>
      </c>
      <c r="F828" s="24" t="s">
        <v>173</v>
      </c>
      <c r="G828" s="15" t="n">
        <f aca="false">IFERROR(INDEX(Decisions!$K$2:$K$122,MATCH(E828,Decisions!$A$2:$A$122,0)),"")</f>
        <v>0</v>
      </c>
    </row>
    <row r="829" customFormat="false" ht="15" hidden="false" customHeight="false" outlineLevel="0" collapsed="false">
      <c r="A829" s="15" t="s">
        <v>1622</v>
      </c>
      <c r="B829" s="15" t="s">
        <v>68</v>
      </c>
      <c r="C829" s="15" t="s">
        <v>1615</v>
      </c>
      <c r="D829" s="15" t="s">
        <v>1623</v>
      </c>
      <c r="E829" s="15" t="s">
        <v>94</v>
      </c>
      <c r="F829" s="23" t="s">
        <v>97</v>
      </c>
      <c r="G829" s="15" t="n">
        <f aca="false">IFERROR(INDEX(Decisions!$K$2:$K$122,MATCH(E829,Decisions!$A$2:$A$122,0)),"")</f>
        <v>0</v>
      </c>
    </row>
    <row r="830" customFormat="false" ht="15" hidden="false" customHeight="false" outlineLevel="0" collapsed="false">
      <c r="A830" s="15" t="s">
        <v>1624</v>
      </c>
      <c r="B830" s="15" t="s">
        <v>68</v>
      </c>
      <c r="C830" s="15" t="s">
        <v>1615</v>
      </c>
      <c r="D830" s="15" t="s">
        <v>1623</v>
      </c>
      <c r="E830" s="15" t="s">
        <v>183</v>
      </c>
      <c r="F830" s="24" t="s">
        <v>173</v>
      </c>
      <c r="G830" s="15" t="n">
        <f aca="false">IFERROR(INDEX(Decisions!$K$2:$K$122,MATCH(E830,Decisions!$A$2:$A$122,0)),"")</f>
        <v>0</v>
      </c>
    </row>
    <row r="831" customFormat="false" ht="15" hidden="false" customHeight="false" outlineLevel="0" collapsed="false">
      <c r="A831" s="15" t="s">
        <v>1625</v>
      </c>
      <c r="B831" s="15" t="s">
        <v>68</v>
      </c>
      <c r="C831" s="15" t="s">
        <v>1615</v>
      </c>
      <c r="D831" s="15" t="s">
        <v>1626</v>
      </c>
      <c r="E831" s="15" t="s">
        <v>94</v>
      </c>
      <c r="F831" s="23" t="s">
        <v>97</v>
      </c>
      <c r="G831" s="15" t="n">
        <f aca="false">IFERROR(INDEX(Decisions!$K$2:$K$122,MATCH(E831,Decisions!$A$2:$A$122,0)),"")</f>
        <v>0</v>
      </c>
    </row>
    <row r="832" customFormat="false" ht="15" hidden="false" customHeight="false" outlineLevel="0" collapsed="false">
      <c r="A832" s="15" t="s">
        <v>1627</v>
      </c>
      <c r="B832" s="15" t="s">
        <v>68</v>
      </c>
      <c r="C832" s="15" t="s">
        <v>1615</v>
      </c>
      <c r="D832" s="15" t="s">
        <v>1626</v>
      </c>
      <c r="E832" s="15" t="s">
        <v>183</v>
      </c>
      <c r="F832" s="24" t="s">
        <v>173</v>
      </c>
      <c r="G832" s="15" t="n">
        <f aca="false">IFERROR(INDEX(Decisions!$K$2:$K$122,MATCH(E832,Decisions!$A$2:$A$122,0)),"")</f>
        <v>0</v>
      </c>
    </row>
    <row r="833" customFormat="false" ht="15" hidden="false" customHeight="false" outlineLevel="0" collapsed="false">
      <c r="A833" s="15" t="s">
        <v>1628</v>
      </c>
      <c r="B833" s="15" t="s">
        <v>68</v>
      </c>
      <c r="C833" s="15" t="s">
        <v>1615</v>
      </c>
      <c r="D833" s="15" t="s">
        <v>1629</v>
      </c>
      <c r="E833" s="15" t="s">
        <v>222</v>
      </c>
      <c r="F833" s="24" t="s">
        <v>173</v>
      </c>
      <c r="G833" s="15" t="n">
        <f aca="false">IFERROR(INDEX(Decisions!$K$2:$K$122,MATCH(E833,Decisions!$A$2:$A$122,0)),"")</f>
        <v>0</v>
      </c>
    </row>
    <row r="834" customFormat="false" ht="15" hidden="false" customHeight="false" outlineLevel="0" collapsed="false">
      <c r="A834" s="15" t="s">
        <v>1630</v>
      </c>
      <c r="B834" s="15" t="s">
        <v>68</v>
      </c>
      <c r="C834" s="15" t="s">
        <v>1615</v>
      </c>
      <c r="D834" s="15" t="s">
        <v>1631</v>
      </c>
      <c r="E834" s="15" t="s">
        <v>110</v>
      </c>
      <c r="F834" s="23" t="s">
        <v>97</v>
      </c>
      <c r="G834" s="15" t="n">
        <f aca="false">IFERROR(INDEX(Decisions!$K$2:$K$122,MATCH(E834,Decisions!$A$2:$A$122,0)),"")</f>
        <v>0</v>
      </c>
    </row>
    <row r="835" customFormat="false" ht="15" hidden="false" customHeight="false" outlineLevel="0" collapsed="false">
      <c r="A835" s="15" t="s">
        <v>1632</v>
      </c>
      <c r="B835" s="15" t="s">
        <v>68</v>
      </c>
      <c r="C835" s="15" t="s">
        <v>1615</v>
      </c>
      <c r="D835" s="15" t="s">
        <v>1631</v>
      </c>
      <c r="E835" s="15" t="s">
        <v>198</v>
      </c>
      <c r="F835" s="24" t="s">
        <v>173</v>
      </c>
      <c r="G835" s="15" t="n">
        <f aca="false">IFERROR(INDEX(Decisions!$K$2:$K$122,MATCH(E835,Decisions!$A$2:$A$122,0)),"")</f>
        <v>0</v>
      </c>
    </row>
    <row r="836" customFormat="false" ht="15" hidden="false" customHeight="false" outlineLevel="0" collapsed="false">
      <c r="A836" s="15" t="s">
        <v>1633</v>
      </c>
      <c r="B836" s="15" t="s">
        <v>68</v>
      </c>
      <c r="C836" s="15" t="s">
        <v>1615</v>
      </c>
      <c r="D836" s="15" t="s">
        <v>1634</v>
      </c>
      <c r="E836" s="15" t="s">
        <v>110</v>
      </c>
      <c r="F836" s="23" t="s">
        <v>97</v>
      </c>
      <c r="G836" s="15" t="n">
        <f aca="false">IFERROR(INDEX(Decisions!$K$2:$K$122,MATCH(E836,Decisions!$A$2:$A$122,0)),"")</f>
        <v>0</v>
      </c>
    </row>
    <row r="837" customFormat="false" ht="15" hidden="false" customHeight="false" outlineLevel="0" collapsed="false">
      <c r="A837" s="15" t="s">
        <v>1635</v>
      </c>
      <c r="B837" s="15" t="s">
        <v>68</v>
      </c>
      <c r="C837" s="15" t="s">
        <v>1615</v>
      </c>
      <c r="D837" s="15" t="s">
        <v>1634</v>
      </c>
      <c r="E837" s="15" t="s">
        <v>198</v>
      </c>
      <c r="F837" s="24" t="s">
        <v>173</v>
      </c>
      <c r="G837" s="15" t="n">
        <f aca="false">IFERROR(INDEX(Decisions!$K$2:$K$122,MATCH(E837,Decisions!$A$2:$A$122,0)),"")</f>
        <v>0</v>
      </c>
    </row>
    <row r="838" customFormat="false" ht="15" hidden="false" customHeight="false" outlineLevel="0" collapsed="false">
      <c r="A838" s="15" t="s">
        <v>1636</v>
      </c>
      <c r="B838" s="15" t="s">
        <v>68</v>
      </c>
      <c r="C838" s="15" t="s">
        <v>1637</v>
      </c>
      <c r="D838" s="15" t="s">
        <v>1638</v>
      </c>
      <c r="E838" s="15" t="s">
        <v>143</v>
      </c>
      <c r="F838" s="23" t="s">
        <v>97</v>
      </c>
      <c r="G838" s="15" t="n">
        <f aca="false">IFERROR(INDEX(Decisions!$K$2:$K$122,MATCH(E838,Decisions!$A$2:$A$122,0)),"")</f>
        <v>0</v>
      </c>
    </row>
    <row r="839" customFormat="false" ht="15" hidden="false" customHeight="false" outlineLevel="0" collapsed="false">
      <c r="A839" s="15" t="s">
        <v>1639</v>
      </c>
      <c r="B839" s="15" t="s">
        <v>68</v>
      </c>
      <c r="C839" s="15" t="s">
        <v>1637</v>
      </c>
      <c r="D839" s="15" t="s">
        <v>1640</v>
      </c>
      <c r="E839" s="15" t="s">
        <v>271</v>
      </c>
      <c r="F839" s="24" t="s">
        <v>173</v>
      </c>
      <c r="G839" s="15" t="n">
        <f aca="false">IFERROR(INDEX(Decisions!$K$2:$K$122,MATCH(E839,Decisions!$A$2:$A$122,0)),"")</f>
        <v>0</v>
      </c>
    </row>
    <row r="840" customFormat="false" ht="15" hidden="false" customHeight="false" outlineLevel="0" collapsed="false">
      <c r="A840" s="15" t="s">
        <v>1641</v>
      </c>
      <c r="B840" s="15" t="s">
        <v>68</v>
      </c>
      <c r="C840" s="15" t="s">
        <v>1637</v>
      </c>
      <c r="D840" s="15" t="s">
        <v>1640</v>
      </c>
      <c r="E840" s="15" t="s">
        <v>302</v>
      </c>
      <c r="F840" s="24" t="s">
        <v>173</v>
      </c>
      <c r="G840" s="15" t="n">
        <f aca="false">IFERROR(INDEX(Decisions!$K$2:$K$122,MATCH(E840,Decisions!$A$2:$A$122,0)),"")</f>
        <v>0</v>
      </c>
    </row>
    <row r="841" customFormat="false" ht="15" hidden="false" customHeight="false" outlineLevel="0" collapsed="false">
      <c r="A841" s="15" t="s">
        <v>1642</v>
      </c>
      <c r="B841" s="15" t="s">
        <v>68</v>
      </c>
      <c r="C841" s="15" t="s">
        <v>1637</v>
      </c>
      <c r="D841" s="15" t="s">
        <v>1643</v>
      </c>
      <c r="E841" s="15" t="s">
        <v>271</v>
      </c>
      <c r="F841" s="24" t="s">
        <v>173</v>
      </c>
      <c r="G841" s="15" t="n">
        <f aca="false">IFERROR(INDEX(Decisions!$K$2:$K$122,MATCH(E841,Decisions!$A$2:$A$122,0)),"")</f>
        <v>0</v>
      </c>
    </row>
    <row r="842" customFormat="false" ht="15" hidden="false" customHeight="false" outlineLevel="0" collapsed="false">
      <c r="A842" s="15" t="s">
        <v>1644</v>
      </c>
      <c r="B842" s="15" t="s">
        <v>68</v>
      </c>
      <c r="C842" s="15" t="s">
        <v>1637</v>
      </c>
      <c r="D842" s="15" t="s">
        <v>1643</v>
      </c>
      <c r="E842" s="15" t="s">
        <v>302</v>
      </c>
      <c r="F842" s="24" t="s">
        <v>173</v>
      </c>
      <c r="G842" s="15" t="n">
        <f aca="false">IFERROR(INDEX(Decisions!$K$2:$K$122,MATCH(E842,Decisions!$A$2:$A$122,0)),"")</f>
        <v>0</v>
      </c>
    </row>
    <row r="843" customFormat="false" ht="15" hidden="false" customHeight="false" outlineLevel="0" collapsed="false">
      <c r="A843" s="15" t="s">
        <v>1645</v>
      </c>
      <c r="B843" s="15" t="s">
        <v>68</v>
      </c>
      <c r="C843" s="15" t="s">
        <v>1637</v>
      </c>
      <c r="D843" s="15" t="s">
        <v>1646</v>
      </c>
      <c r="E843" s="15" t="s">
        <v>271</v>
      </c>
      <c r="F843" s="24" t="s">
        <v>173</v>
      </c>
      <c r="G843" s="15" t="n">
        <f aca="false">IFERROR(INDEX(Decisions!$K$2:$K$122,MATCH(E843,Decisions!$A$2:$A$122,0)),"")</f>
        <v>0</v>
      </c>
    </row>
    <row r="844" customFormat="false" ht="15" hidden="false" customHeight="false" outlineLevel="0" collapsed="false">
      <c r="A844" s="15" t="s">
        <v>1647</v>
      </c>
      <c r="B844" s="15" t="s">
        <v>68</v>
      </c>
      <c r="C844" s="15" t="s">
        <v>1637</v>
      </c>
      <c r="D844" s="15" t="s">
        <v>1646</v>
      </c>
      <c r="E844" s="15" t="s">
        <v>302</v>
      </c>
      <c r="F844" s="24" t="s">
        <v>173</v>
      </c>
      <c r="G844" s="15" t="n">
        <f aca="false">IFERROR(INDEX(Decisions!$K$2:$K$122,MATCH(E844,Decisions!$A$2:$A$122,0)),"")</f>
        <v>0</v>
      </c>
    </row>
    <row r="845" customFormat="false" ht="15" hidden="false" customHeight="false" outlineLevel="0" collapsed="false">
      <c r="A845" s="15" t="s">
        <v>1648</v>
      </c>
      <c r="B845" s="15" t="s">
        <v>68</v>
      </c>
      <c r="C845" s="15" t="s">
        <v>1637</v>
      </c>
      <c r="D845" s="15" t="s">
        <v>1649</v>
      </c>
      <c r="E845" s="15" t="s">
        <v>146</v>
      </c>
      <c r="F845" s="23" t="s">
        <v>97</v>
      </c>
      <c r="G845" s="15" t="n">
        <f aca="false">IFERROR(INDEX(Decisions!$K$2:$K$122,MATCH(E845,Decisions!$A$2:$A$122,0)),"")</f>
        <v>0</v>
      </c>
    </row>
    <row r="846" customFormat="false" ht="15" hidden="false" customHeight="false" outlineLevel="0" collapsed="false">
      <c r="A846" s="15" t="s">
        <v>1650</v>
      </c>
      <c r="B846" s="15" t="s">
        <v>68</v>
      </c>
      <c r="C846" s="15" t="s">
        <v>1637</v>
      </c>
      <c r="D846" s="15" t="s">
        <v>1651</v>
      </c>
      <c r="E846" s="15" t="s">
        <v>72</v>
      </c>
      <c r="F846" s="25" t="s">
        <v>26</v>
      </c>
      <c r="G846" s="15" t="str">
        <f aca="false">IFERROR(INDEX(Decisions!$K$2:$K$122,MATCH(E846,Decisions!$A$2:$A$122,0)),"")</f>
        <v>keep</v>
      </c>
    </row>
    <row r="847" customFormat="false" ht="15" hidden="false" customHeight="false" outlineLevel="0" collapsed="false">
      <c r="A847" s="15" t="s">
        <v>1652</v>
      </c>
      <c r="B847" s="15" t="s">
        <v>68</v>
      </c>
      <c r="C847" s="15" t="s">
        <v>1637</v>
      </c>
      <c r="D847" s="15" t="s">
        <v>1651</v>
      </c>
      <c r="E847" s="15" t="s">
        <v>137</v>
      </c>
      <c r="F847" s="23" t="s">
        <v>97</v>
      </c>
      <c r="G847" s="15" t="n">
        <f aca="false">IFERROR(INDEX(Decisions!$K$2:$K$122,MATCH(E847,Decisions!$A$2:$A$122,0)),"")</f>
        <v>0</v>
      </c>
    </row>
    <row r="848" customFormat="false" ht="15" hidden="false" customHeight="false" outlineLevel="0" collapsed="false">
      <c r="A848" s="15" t="s">
        <v>1653</v>
      </c>
      <c r="B848" s="15" t="s">
        <v>68</v>
      </c>
      <c r="C848" s="15" t="s">
        <v>1637</v>
      </c>
      <c r="D848" s="15" t="s">
        <v>1651</v>
      </c>
      <c r="E848" s="15" t="s">
        <v>307</v>
      </c>
      <c r="F848" s="24" t="s">
        <v>173</v>
      </c>
      <c r="G848" s="15" t="n">
        <f aca="false">IFERROR(INDEX(Decisions!$K$2:$K$122,MATCH(E848,Decisions!$A$2:$A$122,0)),"")</f>
        <v>0</v>
      </c>
    </row>
    <row r="849" customFormat="false" ht="15" hidden="false" customHeight="false" outlineLevel="0" collapsed="false">
      <c r="A849" s="15" t="s">
        <v>1654</v>
      </c>
      <c r="B849" s="15" t="s">
        <v>68</v>
      </c>
      <c r="C849" s="15" t="s">
        <v>1637</v>
      </c>
      <c r="D849" s="15" t="s">
        <v>1651</v>
      </c>
      <c r="E849" s="15" t="s">
        <v>139</v>
      </c>
      <c r="F849" s="23" t="s">
        <v>97</v>
      </c>
      <c r="G849" s="15" t="n">
        <f aca="false">IFERROR(INDEX(Decisions!$K$2:$K$122,MATCH(E849,Decisions!$A$2:$A$122,0)),"")</f>
        <v>0</v>
      </c>
    </row>
    <row r="850" customFormat="false" ht="15" hidden="false" customHeight="false" outlineLevel="0" collapsed="false">
      <c r="A850" s="15" t="s">
        <v>1655</v>
      </c>
      <c r="B850" s="15" t="s">
        <v>68</v>
      </c>
      <c r="C850" s="15" t="s">
        <v>1637</v>
      </c>
      <c r="D850" s="15" t="s">
        <v>1651</v>
      </c>
      <c r="E850" s="15" t="s">
        <v>151</v>
      </c>
      <c r="F850" s="23" t="s">
        <v>97</v>
      </c>
      <c r="G850" s="15" t="n">
        <f aca="false">IFERROR(INDEX(Decisions!$K$2:$K$122,MATCH(E850,Decisions!$A$2:$A$122,0)),"")</f>
        <v>0</v>
      </c>
    </row>
    <row r="851" customFormat="false" ht="15" hidden="false" customHeight="false" outlineLevel="0" collapsed="false">
      <c r="A851" s="15" t="s">
        <v>1656</v>
      </c>
      <c r="B851" s="15" t="s">
        <v>68</v>
      </c>
      <c r="C851" s="15" t="s">
        <v>1637</v>
      </c>
      <c r="D851" s="15" t="s">
        <v>1651</v>
      </c>
      <c r="E851" s="15" t="s">
        <v>75</v>
      </c>
      <c r="F851" s="25" t="s">
        <v>26</v>
      </c>
      <c r="G851" s="15" t="str">
        <f aca="false">IFERROR(INDEX(Decisions!$K$2:$K$122,MATCH(E851,Decisions!$A$2:$A$122,0)),"")</f>
        <v>drop</v>
      </c>
    </row>
    <row r="852" customFormat="false" ht="15" hidden="false" customHeight="false" outlineLevel="0" collapsed="false">
      <c r="A852" s="15" t="s">
        <v>1657</v>
      </c>
      <c r="B852" s="15" t="s">
        <v>68</v>
      </c>
      <c r="C852" s="15" t="s">
        <v>1658</v>
      </c>
      <c r="D852" s="15" t="s">
        <v>1659</v>
      </c>
      <c r="E852" s="15" t="s">
        <v>235</v>
      </c>
      <c r="F852" s="24" t="s">
        <v>173</v>
      </c>
      <c r="G852" s="15" t="n">
        <f aca="false">IFERROR(INDEX(Decisions!$K$2:$K$122,MATCH(E852,Decisions!$A$2:$A$122,0)),"")</f>
        <v>0</v>
      </c>
    </row>
    <row r="853" customFormat="false" ht="15" hidden="false" customHeight="false" outlineLevel="0" collapsed="false">
      <c r="A853" s="15" t="s">
        <v>1660</v>
      </c>
      <c r="B853" s="15" t="s">
        <v>68</v>
      </c>
      <c r="C853" s="15" t="s">
        <v>1658</v>
      </c>
      <c r="D853" s="15" t="s">
        <v>1659</v>
      </c>
      <c r="E853" s="15" t="s">
        <v>187</v>
      </c>
      <c r="F853" s="24" t="s">
        <v>173</v>
      </c>
      <c r="G853" s="15" t="n">
        <f aca="false">IFERROR(INDEX(Decisions!$K$2:$K$122,MATCH(E853,Decisions!$A$2:$A$122,0)),"")</f>
        <v>0</v>
      </c>
    </row>
    <row r="854" customFormat="false" ht="15" hidden="false" customHeight="false" outlineLevel="0" collapsed="false">
      <c r="A854" s="15" t="s">
        <v>1661</v>
      </c>
      <c r="B854" s="15" t="s">
        <v>68</v>
      </c>
      <c r="C854" s="15" t="s">
        <v>1658</v>
      </c>
      <c r="D854" s="15" t="s">
        <v>1659</v>
      </c>
      <c r="E854" s="15" t="s">
        <v>170</v>
      </c>
      <c r="F854" s="24" t="s">
        <v>173</v>
      </c>
      <c r="G854" s="15" t="n">
        <f aca="false">IFERROR(INDEX(Decisions!$K$2:$K$122,MATCH(E854,Decisions!$A$2:$A$122,0)),"")</f>
        <v>0</v>
      </c>
    </row>
    <row r="855" customFormat="false" ht="15" hidden="false" customHeight="false" outlineLevel="0" collapsed="false">
      <c r="A855" s="15" t="s">
        <v>1662</v>
      </c>
      <c r="B855" s="15" t="s">
        <v>68</v>
      </c>
      <c r="C855" s="15" t="s">
        <v>1658</v>
      </c>
      <c r="D855" s="15" t="s">
        <v>1663</v>
      </c>
      <c r="E855" s="15" t="s">
        <v>113</v>
      </c>
      <c r="F855" s="23" t="s">
        <v>97</v>
      </c>
      <c r="G855" s="15" t="n">
        <f aca="false">IFERROR(INDEX(Decisions!$K$2:$K$122,MATCH(E855,Decisions!$A$2:$A$122,0)),"")</f>
        <v>0</v>
      </c>
    </row>
    <row r="856" customFormat="false" ht="15" hidden="false" customHeight="false" outlineLevel="0" collapsed="false">
      <c r="A856" s="15" t="s">
        <v>1664</v>
      </c>
      <c r="B856" s="15" t="s">
        <v>68</v>
      </c>
      <c r="C856" s="15" t="s">
        <v>1658</v>
      </c>
      <c r="D856" s="15" t="s">
        <v>1663</v>
      </c>
      <c r="E856" s="15" t="s">
        <v>116</v>
      </c>
      <c r="F856" s="23" t="s">
        <v>97</v>
      </c>
      <c r="G856" s="15" t="n">
        <f aca="false">IFERROR(INDEX(Decisions!$K$2:$K$122,MATCH(E856,Decisions!$A$2:$A$122,0)),"")</f>
        <v>0</v>
      </c>
    </row>
    <row r="857" customFormat="false" ht="15" hidden="false" customHeight="false" outlineLevel="0" collapsed="false">
      <c r="A857" s="15" t="s">
        <v>1665</v>
      </c>
      <c r="B857" s="15" t="s">
        <v>68</v>
      </c>
      <c r="C857" s="15" t="s">
        <v>1658</v>
      </c>
      <c r="D857" s="15" t="s">
        <v>1663</v>
      </c>
      <c r="E857" s="15" t="s">
        <v>225</v>
      </c>
      <c r="F857" s="24" t="s">
        <v>173</v>
      </c>
      <c r="G857" s="15" t="n">
        <f aca="false">IFERROR(INDEX(Decisions!$K$2:$K$122,MATCH(E857,Decisions!$A$2:$A$122,0)),"")</f>
        <v>0</v>
      </c>
    </row>
    <row r="858" customFormat="false" ht="15" hidden="false" customHeight="false" outlineLevel="0" collapsed="false">
      <c r="A858" s="15" t="s">
        <v>1666</v>
      </c>
      <c r="B858" s="15" t="s">
        <v>68</v>
      </c>
      <c r="C858" s="15" t="s">
        <v>1658</v>
      </c>
      <c r="D858" s="15" t="s">
        <v>1663</v>
      </c>
      <c r="E858" s="15" t="s">
        <v>218</v>
      </c>
      <c r="F858" s="24" t="s">
        <v>173</v>
      </c>
      <c r="G858" s="15" t="n">
        <f aca="false">IFERROR(INDEX(Decisions!$K$2:$K$122,MATCH(E858,Decisions!$A$2:$A$122,0)),"")</f>
        <v>0</v>
      </c>
    </row>
    <row r="859" customFormat="false" ht="15" hidden="false" customHeight="false" outlineLevel="0" collapsed="false">
      <c r="A859" s="15" t="s">
        <v>1667</v>
      </c>
      <c r="B859" s="15" t="s">
        <v>68</v>
      </c>
      <c r="C859" s="15" t="s">
        <v>1658</v>
      </c>
      <c r="D859" s="15" t="s">
        <v>1663</v>
      </c>
      <c r="E859" s="15" t="s">
        <v>259</v>
      </c>
      <c r="F859" s="24" t="s">
        <v>173</v>
      </c>
      <c r="G859" s="15" t="n">
        <f aca="false">IFERROR(INDEX(Decisions!$K$2:$K$122,MATCH(E859,Decisions!$A$2:$A$122,0)),"")</f>
        <v>0</v>
      </c>
    </row>
    <row r="860" customFormat="false" ht="15" hidden="false" customHeight="false" outlineLevel="0" collapsed="false">
      <c r="A860" s="15" t="s">
        <v>1668</v>
      </c>
      <c r="B860" s="15" t="s">
        <v>68</v>
      </c>
      <c r="C860" s="15" t="s">
        <v>1658</v>
      </c>
      <c r="D860" s="15" t="s">
        <v>1663</v>
      </c>
      <c r="E860" s="15" t="s">
        <v>118</v>
      </c>
      <c r="F860" s="23" t="s">
        <v>97</v>
      </c>
      <c r="G860" s="15" t="n">
        <f aca="false">IFERROR(INDEX(Decisions!$K$2:$K$122,MATCH(E860,Decisions!$A$2:$A$122,0)),"")</f>
        <v>0</v>
      </c>
    </row>
    <row r="861" customFormat="false" ht="15" hidden="false" customHeight="false" outlineLevel="0" collapsed="false">
      <c r="A861" s="15" t="s">
        <v>1669</v>
      </c>
      <c r="B861" s="15" t="s">
        <v>68</v>
      </c>
      <c r="C861" s="15" t="s">
        <v>1658</v>
      </c>
      <c r="D861" s="15" t="s">
        <v>1670</v>
      </c>
      <c r="E861" s="15" t="s">
        <v>387</v>
      </c>
      <c r="F861" s="24" t="s">
        <v>173</v>
      </c>
      <c r="G861" s="15" t="n">
        <f aca="false">IFERROR(INDEX(Decisions!$K$2:$K$122,MATCH(E861,Decisions!$A$2:$A$122,0)),"")</f>
        <v>0</v>
      </c>
    </row>
    <row r="862" customFormat="false" ht="15" hidden="false" customHeight="false" outlineLevel="0" collapsed="false">
      <c r="A862" s="15" t="s">
        <v>1671</v>
      </c>
      <c r="B862" s="15" t="s">
        <v>68</v>
      </c>
      <c r="C862" s="15" t="s">
        <v>1672</v>
      </c>
      <c r="D862" s="15" t="s">
        <v>1673</v>
      </c>
      <c r="E862" s="15" t="s">
        <v>191</v>
      </c>
      <c r="F862" s="24" t="s">
        <v>173</v>
      </c>
      <c r="G862" s="15" t="n">
        <f aca="false">IFERROR(INDEX(Decisions!$K$2:$K$122,MATCH(E862,Decisions!$A$2:$A$122,0)),"")</f>
        <v>0</v>
      </c>
    </row>
    <row r="863" customFormat="false" ht="15" hidden="false" customHeight="false" outlineLevel="0" collapsed="false">
      <c r="A863" s="15" t="s">
        <v>1674</v>
      </c>
      <c r="B863" s="15" t="s">
        <v>68</v>
      </c>
      <c r="C863" s="15" t="s">
        <v>1672</v>
      </c>
      <c r="D863" s="15" t="s">
        <v>1673</v>
      </c>
      <c r="E863" s="15" t="s">
        <v>99</v>
      </c>
      <c r="F863" s="23" t="s">
        <v>97</v>
      </c>
      <c r="G863" s="15" t="n">
        <f aca="false">IFERROR(INDEX(Decisions!$K$2:$K$122,MATCH(E863,Decisions!$A$2:$A$122,0)),"")</f>
        <v>0</v>
      </c>
    </row>
    <row r="864" customFormat="false" ht="15" hidden="false" customHeight="false" outlineLevel="0" collapsed="false">
      <c r="A864" s="15" t="s">
        <v>1675</v>
      </c>
      <c r="B864" s="15" t="s">
        <v>68</v>
      </c>
      <c r="C864" s="15" t="s">
        <v>1672</v>
      </c>
      <c r="D864" s="15" t="s">
        <v>1673</v>
      </c>
      <c r="E864" s="15" t="s">
        <v>108</v>
      </c>
      <c r="F864" s="23" t="s">
        <v>97</v>
      </c>
      <c r="G864" s="15" t="n">
        <f aca="false">IFERROR(INDEX(Decisions!$K$2:$K$122,MATCH(E864,Decisions!$A$2:$A$122,0)),"")</f>
        <v>0</v>
      </c>
    </row>
    <row r="865" customFormat="false" ht="15" hidden="false" customHeight="false" outlineLevel="0" collapsed="false">
      <c r="A865" s="15" t="s">
        <v>1676</v>
      </c>
      <c r="B865" s="15" t="s">
        <v>68</v>
      </c>
      <c r="C865" s="15" t="s">
        <v>1672</v>
      </c>
      <c r="D865" s="15" t="s">
        <v>1673</v>
      </c>
      <c r="E865" s="15" t="s">
        <v>106</v>
      </c>
      <c r="F865" s="23" t="s">
        <v>97</v>
      </c>
      <c r="G865" s="15" t="n">
        <f aca="false">IFERROR(INDEX(Decisions!$K$2:$K$122,MATCH(E865,Decisions!$A$2:$A$122,0)),"")</f>
        <v>0</v>
      </c>
    </row>
    <row r="866" customFormat="false" ht="15" hidden="false" customHeight="false" outlineLevel="0" collapsed="false">
      <c r="A866" s="15" t="s">
        <v>1677</v>
      </c>
      <c r="B866" s="15" t="s">
        <v>68</v>
      </c>
      <c r="C866" s="15" t="s">
        <v>1672</v>
      </c>
      <c r="D866" s="15" t="s">
        <v>1673</v>
      </c>
      <c r="E866" s="15" t="s">
        <v>194</v>
      </c>
      <c r="F866" s="24" t="s">
        <v>173</v>
      </c>
      <c r="G866" s="15" t="n">
        <f aca="false">IFERROR(INDEX(Decisions!$K$2:$K$122,MATCH(E866,Decisions!$A$2:$A$122,0)),"")</f>
        <v>0</v>
      </c>
    </row>
    <row r="867" customFormat="false" ht="15" hidden="false" customHeight="false" outlineLevel="0" collapsed="false">
      <c r="A867" s="15" t="s">
        <v>1678</v>
      </c>
      <c r="B867" s="15" t="s">
        <v>68</v>
      </c>
      <c r="C867" s="15" t="s">
        <v>1672</v>
      </c>
      <c r="D867" s="15" t="s">
        <v>1673</v>
      </c>
      <c r="E867" s="15" t="s">
        <v>58</v>
      </c>
      <c r="F867" s="25" t="s">
        <v>26</v>
      </c>
      <c r="G867" s="15" t="str">
        <f aca="false">IFERROR(INDEX(Decisions!$K$2:$K$122,MATCH(E867,Decisions!$A$2:$A$122,0)),"")</f>
        <v>drop</v>
      </c>
    </row>
    <row r="868" customFormat="false" ht="15" hidden="false" customHeight="false" outlineLevel="0" collapsed="false">
      <c r="A868" s="15" t="s">
        <v>1679</v>
      </c>
      <c r="B868" s="15" t="s">
        <v>68</v>
      </c>
      <c r="C868" s="15" t="s">
        <v>1672</v>
      </c>
      <c r="D868" s="15" t="s">
        <v>1673</v>
      </c>
      <c r="E868" s="15" t="s">
        <v>22</v>
      </c>
      <c r="F868" s="25" t="s">
        <v>26</v>
      </c>
      <c r="G868" s="15" t="str">
        <f aca="false">IFERROR(INDEX(Decisions!$K$2:$K$122,MATCH(E868,Decisions!$A$2:$A$122,0)),"")</f>
        <v>drop</v>
      </c>
    </row>
    <row r="869" customFormat="false" ht="15" hidden="false" customHeight="false" outlineLevel="0" collapsed="false">
      <c r="A869" s="15" t="s">
        <v>1680</v>
      </c>
      <c r="B869" s="15" t="s">
        <v>68</v>
      </c>
      <c r="C869" s="15" t="s">
        <v>1672</v>
      </c>
      <c r="D869" s="15" t="s">
        <v>1681</v>
      </c>
      <c r="E869" s="15" t="s">
        <v>278</v>
      </c>
      <c r="F869" s="24" t="s">
        <v>173</v>
      </c>
      <c r="G869" s="15" t="n">
        <f aca="false">IFERROR(INDEX(Decisions!$K$2:$K$122,MATCH(E869,Decisions!$A$2:$A$122,0)),"")</f>
        <v>0</v>
      </c>
    </row>
    <row r="870" customFormat="false" ht="15" hidden="false" customHeight="false" outlineLevel="0" collapsed="false">
      <c r="A870" s="15" t="s">
        <v>1682</v>
      </c>
      <c r="B870" s="15" t="s">
        <v>68</v>
      </c>
      <c r="C870" s="15" t="s">
        <v>1672</v>
      </c>
      <c r="D870" s="15" t="s">
        <v>1683</v>
      </c>
      <c r="E870" s="15" t="s">
        <v>276</v>
      </c>
      <c r="F870" s="24" t="s">
        <v>173</v>
      </c>
      <c r="G870" s="15" t="n">
        <f aca="false">IFERROR(INDEX(Decisions!$K$2:$K$122,MATCH(E870,Decisions!$A$2:$A$122,0)),"")</f>
        <v>0</v>
      </c>
    </row>
    <row r="871" customFormat="false" ht="15" hidden="false" customHeight="false" outlineLevel="0" collapsed="false">
      <c r="A871" s="15" t="s">
        <v>1684</v>
      </c>
      <c r="B871" s="15" t="s">
        <v>68</v>
      </c>
      <c r="C871" s="15" t="s">
        <v>1672</v>
      </c>
      <c r="D871" s="15" t="s">
        <v>1683</v>
      </c>
      <c r="E871" s="15" t="s">
        <v>268</v>
      </c>
      <c r="F871" s="24" t="s">
        <v>173</v>
      </c>
      <c r="G871" s="15" t="n">
        <f aca="false">IFERROR(INDEX(Decisions!$K$2:$K$122,MATCH(E871,Decisions!$A$2:$A$122,0)),"")</f>
        <v>0</v>
      </c>
    </row>
    <row r="872" customFormat="false" ht="15" hidden="false" customHeight="false" outlineLevel="0" collapsed="false">
      <c r="A872" s="15" t="s">
        <v>1685</v>
      </c>
      <c r="B872" s="15" t="s">
        <v>68</v>
      </c>
      <c r="C872" s="15" t="s">
        <v>1686</v>
      </c>
      <c r="D872" s="15" t="s">
        <v>1687</v>
      </c>
      <c r="E872" s="15" t="s">
        <v>66</v>
      </c>
      <c r="F872" s="25" t="s">
        <v>26</v>
      </c>
      <c r="G872" s="15" t="str">
        <f aca="false">IFERROR(INDEX(Decisions!$K$2:$K$122,MATCH(E872,Decisions!$A$2:$A$122,0)),"")</f>
        <v>keep</v>
      </c>
    </row>
    <row r="873" customFormat="false" ht="15" hidden="false" customHeight="false" outlineLevel="0" collapsed="false">
      <c r="A873" s="15" t="s">
        <v>1688</v>
      </c>
      <c r="B873" s="15" t="s">
        <v>68</v>
      </c>
      <c r="C873" s="15" t="s">
        <v>1686</v>
      </c>
      <c r="D873" s="15" t="s">
        <v>1687</v>
      </c>
      <c r="E873" s="15" t="s">
        <v>128</v>
      </c>
      <c r="F873" s="23" t="s">
        <v>97</v>
      </c>
      <c r="G873" s="15" t="n">
        <f aca="false">IFERROR(INDEX(Decisions!$K$2:$K$122,MATCH(E873,Decisions!$A$2:$A$122,0)),"")</f>
        <v>0</v>
      </c>
    </row>
    <row r="874" customFormat="false" ht="15" hidden="false" customHeight="false" outlineLevel="0" collapsed="false">
      <c r="A874" s="15" t="s">
        <v>1689</v>
      </c>
      <c r="B874" s="15" t="s">
        <v>68</v>
      </c>
      <c r="C874" s="15" t="s">
        <v>1690</v>
      </c>
      <c r="D874" s="15" t="s">
        <v>1691</v>
      </c>
      <c r="E874" s="15" t="s">
        <v>177</v>
      </c>
      <c r="F874" s="24" t="s">
        <v>173</v>
      </c>
      <c r="G874" s="15" t="n">
        <f aca="false">IFERROR(INDEX(Decisions!$K$2:$K$122,MATCH(E874,Decisions!$A$2:$A$122,0)),"")</f>
        <v>0</v>
      </c>
    </row>
    <row r="875" customFormat="false" ht="15" hidden="false" customHeight="false" outlineLevel="0" collapsed="false">
      <c r="A875" s="15" t="s">
        <v>1692</v>
      </c>
      <c r="B875" s="15" t="s">
        <v>68</v>
      </c>
      <c r="C875" s="15" t="s">
        <v>1690</v>
      </c>
      <c r="D875" s="15" t="s">
        <v>1693</v>
      </c>
      <c r="E875" s="15" t="s">
        <v>170</v>
      </c>
      <c r="F875" s="24" t="s">
        <v>173</v>
      </c>
      <c r="G875" s="15" t="n">
        <f aca="false">IFERROR(INDEX(Decisions!$K$2:$K$122,MATCH(E875,Decisions!$A$2:$A$122,0)),"")</f>
        <v>0</v>
      </c>
    </row>
    <row r="876" customFormat="false" ht="15" hidden="false" customHeight="false" outlineLevel="0" collapsed="false">
      <c r="A876" s="15" t="s">
        <v>1694</v>
      </c>
      <c r="B876" s="15" t="s">
        <v>68</v>
      </c>
      <c r="C876" s="15" t="s">
        <v>1686</v>
      </c>
      <c r="D876" s="15" t="s">
        <v>1695</v>
      </c>
      <c r="E876" s="15" t="s">
        <v>113</v>
      </c>
      <c r="F876" s="23" t="s">
        <v>97</v>
      </c>
      <c r="G876" s="15" t="n">
        <f aca="false">IFERROR(INDEX(Decisions!$K$2:$K$122,MATCH(E876,Decisions!$A$2:$A$122,0)),"")</f>
        <v>0</v>
      </c>
    </row>
    <row r="877" customFormat="false" ht="15" hidden="false" customHeight="false" outlineLevel="0" collapsed="false">
      <c r="A877" s="15" t="s">
        <v>1696</v>
      </c>
      <c r="B877" s="15" t="s">
        <v>68</v>
      </c>
      <c r="C877" s="15" t="s">
        <v>1686</v>
      </c>
      <c r="D877" s="15" t="s">
        <v>1695</v>
      </c>
      <c r="E877" s="15" t="s">
        <v>116</v>
      </c>
      <c r="F877" s="23" t="s">
        <v>97</v>
      </c>
      <c r="G877" s="15" t="n">
        <f aca="false">IFERROR(INDEX(Decisions!$K$2:$K$122,MATCH(E877,Decisions!$A$2:$A$122,0)),"")</f>
        <v>0</v>
      </c>
    </row>
    <row r="878" customFormat="false" ht="15" hidden="false" customHeight="false" outlineLevel="0" collapsed="false">
      <c r="A878" s="15" t="s">
        <v>1697</v>
      </c>
      <c r="B878" s="15" t="s">
        <v>68</v>
      </c>
      <c r="C878" s="15" t="s">
        <v>1686</v>
      </c>
      <c r="D878" s="15" t="s">
        <v>1695</v>
      </c>
      <c r="E878" s="15" t="s">
        <v>225</v>
      </c>
      <c r="F878" s="24" t="s">
        <v>173</v>
      </c>
      <c r="G878" s="15" t="n">
        <f aca="false">IFERROR(INDEX(Decisions!$K$2:$K$122,MATCH(E878,Decisions!$A$2:$A$122,0)),"")</f>
        <v>0</v>
      </c>
    </row>
    <row r="879" customFormat="false" ht="15" hidden="false" customHeight="false" outlineLevel="0" collapsed="false">
      <c r="A879" s="15" t="s">
        <v>1698</v>
      </c>
      <c r="B879" s="15" t="s">
        <v>68</v>
      </c>
      <c r="C879" s="15" t="s">
        <v>1686</v>
      </c>
      <c r="D879" s="15" t="s">
        <v>1695</v>
      </c>
      <c r="E879" s="15" t="s">
        <v>218</v>
      </c>
      <c r="F879" s="24" t="s">
        <v>173</v>
      </c>
      <c r="G879" s="15" t="n">
        <f aca="false">IFERROR(INDEX(Decisions!$K$2:$K$122,MATCH(E879,Decisions!$A$2:$A$122,0)),"")</f>
        <v>0</v>
      </c>
    </row>
    <row r="880" customFormat="false" ht="15" hidden="false" customHeight="false" outlineLevel="0" collapsed="false">
      <c r="A880" s="15" t="s">
        <v>1699</v>
      </c>
      <c r="B880" s="15" t="s">
        <v>68</v>
      </c>
      <c r="C880" s="15" t="s">
        <v>1686</v>
      </c>
      <c r="D880" s="15" t="s">
        <v>1695</v>
      </c>
      <c r="E880" s="15" t="s">
        <v>259</v>
      </c>
      <c r="F880" s="24" t="s">
        <v>173</v>
      </c>
      <c r="G880" s="15" t="n">
        <f aca="false">IFERROR(INDEX(Decisions!$K$2:$K$122,MATCH(E880,Decisions!$A$2:$A$122,0)),"")</f>
        <v>0</v>
      </c>
    </row>
    <row r="881" customFormat="false" ht="15" hidden="false" customHeight="false" outlineLevel="0" collapsed="false">
      <c r="A881" s="15" t="s">
        <v>1700</v>
      </c>
      <c r="B881" s="15" t="s">
        <v>68</v>
      </c>
      <c r="C881" s="15" t="s">
        <v>1686</v>
      </c>
      <c r="D881" s="15" t="s">
        <v>1695</v>
      </c>
      <c r="E881" s="15" t="s">
        <v>118</v>
      </c>
      <c r="F881" s="23" t="s">
        <v>97</v>
      </c>
      <c r="G881" s="15" t="n">
        <f aca="false">IFERROR(INDEX(Decisions!$K$2:$K$122,MATCH(E881,Decisions!$A$2:$A$122,0)),"")</f>
        <v>0</v>
      </c>
    </row>
    <row r="882" customFormat="false" ht="15" hidden="false" customHeight="false" outlineLevel="0" collapsed="false">
      <c r="A882" s="15" t="s">
        <v>1701</v>
      </c>
      <c r="B882" s="15" t="s">
        <v>68</v>
      </c>
      <c r="C882" s="15" t="s">
        <v>1702</v>
      </c>
      <c r="D882" s="15" t="s">
        <v>592</v>
      </c>
      <c r="E882" s="15" t="s">
        <v>240</v>
      </c>
      <c r="F882" s="24" t="s">
        <v>173</v>
      </c>
      <c r="G882" s="15" t="n">
        <f aca="false">IFERROR(INDEX(Decisions!$K$2:$K$122,MATCH(E882,Decisions!$A$2:$A$122,0)),"")</f>
        <v>0</v>
      </c>
    </row>
    <row r="883" customFormat="false" ht="15" hidden="false" customHeight="false" outlineLevel="0" collapsed="false">
      <c r="A883" s="15" t="s">
        <v>1703</v>
      </c>
      <c r="B883" s="15" t="s">
        <v>68</v>
      </c>
      <c r="C883" s="15" t="s">
        <v>1702</v>
      </c>
      <c r="D883" s="15" t="s">
        <v>592</v>
      </c>
      <c r="E883" s="15" t="s">
        <v>245</v>
      </c>
      <c r="F883" s="24" t="s">
        <v>173</v>
      </c>
      <c r="G883" s="15" t="n">
        <f aca="false">IFERROR(INDEX(Decisions!$K$2:$K$122,MATCH(E883,Decisions!$A$2:$A$122,0)),"")</f>
        <v>0</v>
      </c>
    </row>
  </sheetData>
  <autoFilter ref="A1:G88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4" min="2" style="0" width="14"/>
  </cols>
  <sheetData>
    <row r="1" customFormat="false" ht="17.35" hidden="false" customHeight="false" outlineLevel="0" collapsed="false">
      <c r="A1" s="9" t="s">
        <v>1704</v>
      </c>
    </row>
    <row r="3" customFormat="false" ht="15" hidden="false" customHeight="false" outlineLevel="0" collapsed="false">
      <c r="A3" s="26" t="s">
        <v>1705</v>
      </c>
      <c r="B3" s="27" t="n">
        <v>121</v>
      </c>
    </row>
    <row r="4" customFormat="false" ht="15" hidden="false" customHeight="false" outlineLevel="0" collapsed="false">
      <c r="A4" s="26" t="s">
        <v>1706</v>
      </c>
      <c r="B4" s="27" t="n">
        <f aca="false">COUNTIF(Decisions!$K$2:$K$122,"&lt;&gt;")</f>
        <v>13</v>
      </c>
    </row>
    <row r="5" customFormat="false" ht="15" hidden="false" customHeight="false" outlineLevel="0" collapsed="false">
      <c r="A5" s="26" t="s">
        <v>1707</v>
      </c>
      <c r="B5" s="27" t="n">
        <f aca="false">B3-B4</f>
        <v>108</v>
      </c>
    </row>
    <row r="6" customFormat="false" ht="15" hidden="false" customHeight="false" outlineLevel="0" collapsed="false">
      <c r="A6" s="26" t="s">
        <v>1708</v>
      </c>
      <c r="B6" s="28" t="n">
        <f aca="false">IFERROR(B4/B3,0)</f>
        <v>0.107438016528926</v>
      </c>
    </row>
    <row r="8" customFormat="false" ht="15" hidden="false" customHeight="false" outlineLevel="0" collapsed="false">
      <c r="A8" s="26" t="s">
        <v>1709</v>
      </c>
      <c r="B8" s="27" t="n">
        <v>882</v>
      </c>
    </row>
    <row r="9" customFormat="false" ht="15" hidden="false" customHeight="false" outlineLevel="0" collapsed="false">
      <c r="A9" s="26" t="s">
        <v>1710</v>
      </c>
      <c r="B9" s="29" t="n">
        <f aca="false">SUMIF(Decisions!$K$2:$K$122,"keep",Decisions!$C$2:$C$122)+SUMIF(Decisions!$K$2:$K$122,"edit",Decisions!$C$2:$C$122)</f>
        <v>12</v>
      </c>
    </row>
    <row r="10" customFormat="false" ht="15" hidden="false" customHeight="false" outlineLevel="0" collapsed="false">
      <c r="A10" s="26" t="s">
        <v>1711</v>
      </c>
      <c r="B10" s="27" t="n">
        <f aca="false">SUMIF(Decisions!$K$2:$K$122,"drop",Decisions!$C$2:$C$122)</f>
        <v>60</v>
      </c>
    </row>
    <row r="13" customFormat="false" ht="15" hidden="false" customHeight="false" outlineLevel="0" collapsed="false">
      <c r="A13" s="30" t="s">
        <v>1712</v>
      </c>
    </row>
    <row r="14" customFormat="false" ht="15" hidden="false" customHeight="false" outlineLevel="0" collapsed="false">
      <c r="A14" s="31" t="s">
        <v>1713</v>
      </c>
      <c r="B14" s="31" t="s">
        <v>1714</v>
      </c>
      <c r="C14" s="31" t="s">
        <v>1715</v>
      </c>
      <c r="D14" s="31" t="s">
        <v>1716</v>
      </c>
    </row>
    <row r="15" customFormat="false" ht="15" hidden="false" customHeight="false" outlineLevel="0" collapsed="false">
      <c r="A15" s="32" t="s">
        <v>26</v>
      </c>
      <c r="B15" s="33" t="n">
        <f aca="false">COUNTIF(Decisions!$G$2:$G$122,"ambiguous")</f>
        <v>13</v>
      </c>
      <c r="C15" s="33" t="n">
        <f aca="false">COUNTIFS(Decisions!$G$2:$G$122,"ambiguous",Decisions!$K$2:$K$122,"&lt;&gt;")</f>
        <v>13</v>
      </c>
      <c r="D15" s="33" t="n">
        <f aca="false">SUMIF(Decisions!$G$2:$G$122,"ambiguous",Decisions!$C$2:$C$122)</f>
        <v>72</v>
      </c>
    </row>
    <row r="16" customFormat="false" ht="15" hidden="false" customHeight="false" outlineLevel="0" collapsed="false">
      <c r="A16" s="32" t="s">
        <v>97</v>
      </c>
      <c r="B16" s="33" t="n">
        <f aca="false">COUNTIF(Decisions!$G$2:$G$122,"operational")</f>
        <v>31</v>
      </c>
      <c r="C16" s="33" t="n">
        <f aca="false">COUNTIFS(Decisions!$G$2:$G$122,"operational",Decisions!$K$2:$K$122,"&lt;&gt;")</f>
        <v>0</v>
      </c>
      <c r="D16" s="33" t="n">
        <f aca="false">SUMIF(Decisions!$G$2:$G$122,"operational",Decisions!$C$2:$C$122)</f>
        <v>290</v>
      </c>
    </row>
    <row r="17" customFormat="false" ht="15" hidden="false" customHeight="false" outlineLevel="0" collapsed="false">
      <c r="A17" s="32" t="s">
        <v>173</v>
      </c>
      <c r="B17" s="33" t="n">
        <f aca="false">COUNTIF(Decisions!$G$2:$G$122,"security")</f>
        <v>77</v>
      </c>
      <c r="C17" s="33" t="n">
        <f aca="false">COUNTIFS(Decisions!$G$2:$G$122,"security",Decisions!$K$2:$K$122,"&lt;&gt;")</f>
        <v>0</v>
      </c>
      <c r="D17" s="33" t="n">
        <f aca="false">SUMIF(Decisions!$G$2:$G$122,"security",Decisions!$C$2:$C$122)</f>
        <v>520</v>
      </c>
    </row>
    <row r="19" customFormat="false" ht="15" hidden="false" customHeight="false" outlineLevel="0" collapsed="false">
      <c r="A19" s="30" t="s">
        <v>1717</v>
      </c>
    </row>
    <row r="20" customFormat="false" ht="15" hidden="false" customHeight="false" outlineLevel="0" collapsed="false">
      <c r="A20" s="32" t="s">
        <v>6</v>
      </c>
      <c r="B20" s="33" t="n">
        <f aca="false">COUNTIF(Decisions!$K$2:$K$122,"keep")</f>
        <v>5</v>
      </c>
    </row>
    <row r="21" customFormat="false" ht="15" hidden="false" customHeight="false" outlineLevel="0" collapsed="false">
      <c r="A21" s="32" t="s">
        <v>8</v>
      </c>
      <c r="B21" s="33" t="n">
        <f aca="false">COUNTIF(Decisions!$K$2:$K$122,"drop")</f>
        <v>8</v>
      </c>
    </row>
    <row r="22" customFormat="false" ht="15" hidden="false" customHeight="false" outlineLevel="0" collapsed="false">
      <c r="A22" s="32" t="s">
        <v>10</v>
      </c>
      <c r="B22" s="33" t="n">
        <f aca="false">COUNTIF(Decisions!$K$2:$K$122,"edit")</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2026-08-16T17:14:33Z</dcterms:created>
  <dc:creator>openpyxl</dc:creator>
  <dc:description/>
  <dc:language>en-US</dc:language>
  <cp:lastModifiedBy/>
  <dcterms:modified xsi:type="dcterms:W3CDTF">2026-08-16T17:14:33Z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